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Package 1 Evolution" sheetId="2" r:id="rId6"/>
    <sheet state="visible" name="Package 2 Evolution" sheetId="3" r:id="rId7"/>
    <sheet state="visible" name="Package 3 Evolution" sheetId="4" r:id="rId8"/>
    <sheet state="visible" name="Package 4 Evolution" sheetId="5" r:id="rId9"/>
  </sheets>
  <definedNames/>
  <calcPr/>
</workbook>
</file>

<file path=xl/sharedStrings.xml><?xml version="1.0" encoding="utf-8"?>
<sst xmlns="http://schemas.openxmlformats.org/spreadsheetml/2006/main" count="312" uniqueCount="84">
  <si>
    <t>OBS: Measurements before packing</t>
  </si>
  <si>
    <t>BoxType</t>
  </si>
  <si>
    <t>Length (m)</t>
  </si>
  <si>
    <t>Width (m)</t>
  </si>
  <si>
    <t>Height (m)</t>
  </si>
  <si>
    <t>Volume (L)</t>
  </si>
  <si>
    <t>Box 1</t>
  </si>
  <si>
    <t>Box 2</t>
  </si>
  <si>
    <t>Box 3</t>
  </si>
  <si>
    <t>Box 4</t>
  </si>
  <si>
    <t>Measurements performed by the algorithm (real time)</t>
  </si>
  <si>
    <t>Manual Volume (m³)</t>
  </si>
  <si>
    <t>Average Estimated Volume (L)</t>
  </si>
  <si>
    <t>RMSE (L)</t>
  </si>
  <si>
    <t>MAPE</t>
  </si>
  <si>
    <t>Standard deviation (L)</t>
  </si>
  <si>
    <t>Execution time (s)</t>
  </si>
  <si>
    <t>Column 8</t>
  </si>
  <si>
    <t>Column 9</t>
  </si>
  <si>
    <t>MAPE - General</t>
  </si>
  <si>
    <t>RMSE - General (L)</t>
  </si>
  <si>
    <t>Standard deviation - Overall (L)</t>
  </si>
  <si>
    <t>Average execution time</t>
  </si>
  <si>
    <t>Column 3</t>
  </si>
  <si>
    <t>Column 2</t>
  </si>
  <si>
    <t>Column 3 2</t>
  </si>
  <si>
    <t>RMSE (m)</t>
  </si>
  <si>
    <t>Standard deviation</t>
  </si>
  <si>
    <t>RMSE - Overall (LxWxH)</t>
  </si>
  <si>
    <t>Standard Deviation - General</t>
  </si>
  <si>
    <t>Note: The tables in this frame represent estimated values, plus a 5 mm precision adjustment implemented in the algorithm.</t>
  </si>
  <si>
    <t>Type of acquisition</t>
  </si>
  <si>
    <t>Execution Time (s)</t>
  </si>
  <si>
    <t>MRS</t>
  </si>
  <si>
    <t>CR3 - Alone</t>
  </si>
  <si>
    <t>Note: The tables in this frame represent the estimated actual values, disregarding the 5 mm precision adjustment in the algorithm.</t>
  </si>
  <si>
    <t>Precision adjustment (m)=</t>
  </si>
  <si>
    <t>Conversion factor (L) =</t>
  </si>
  <si>
    <t>Attempt</t>
  </si>
  <si>
    <t>Manual measurements</t>
  </si>
  <si>
    <t>Mean squared error and standard deviation of the estimated box dimensions.</t>
  </si>
  <si>
    <t>Length</t>
  </si>
  <si>
    <t>Width</t>
  </si>
  <si>
    <t>Height</t>
  </si>
  <si>
    <t>SE (m)</t>
  </si>
  <si>
    <t>Standard Deviation (m)</t>
  </si>
  <si>
    <t>Total</t>
  </si>
  <si>
    <t>MSE (m)</t>
  </si>
  <si>
    <t>manual volume (L) =</t>
  </si>
  <si>
    <t>volume (L) manual</t>
  </si>
  <si>
    <t>Attempt number</t>
  </si>
  <si>
    <t>Calculated volume (L)</t>
  </si>
  <si>
    <t>Absolute Error (L)</t>
  </si>
  <si>
    <t>Standard Deviation (L)</t>
  </si>
  <si>
    <t>Column 1</t>
  </si>
  <si>
    <t>Quadratic Error (L)</t>
  </si>
  <si>
    <t>MAPE Vol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</si>
  <si>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</si>
  <si>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</si>
  <si>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</si>
  <si>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</si>
  <si>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</si>
  <si>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</si>
  <si>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</si>
  <si>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</si>
  <si>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</si>
  <si>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</si>
  <si>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average</t>
  </si>
  <si>
    <t>Length (mm)</t>
  </si>
  <si>
    <t>Manual volume (L)</t>
  </si>
  <si>
    <t>Number of points</t>
  </si>
  <si>
    <t>Absolute error (L)</t>
  </si>
  <si>
    <t>Square Error (L)</t>
  </si>
  <si>
    <t>11</t>
  </si>
  <si>
    <t>12</t>
  </si>
  <si>
    <t>13</t>
  </si>
  <si>
    <t>14</t>
  </si>
  <si>
    <t>15</t>
  </si>
  <si>
    <t>]</t>
  </si>
  <si>
    <t>Volume</t>
  </si>
  <si>
    <t>manual volume (L)</t>
  </si>
  <si>
    <t>Attempt Number</t>
  </si>
  <si>
    <t>Calculated volume (m³)</t>
  </si>
  <si>
    <t>Absolute error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</si>
</sst>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0000"/>
    <numFmt numFmtId="165" formatCode="0.000"/>
    <numFmt numFmtId="166" formatCode="0.000%"/>
    <numFmt numFmtId="167" formatCode="0.00000"/>
    <numFmt numFmtId="168" formatCode="0.000000"/>
    <numFmt numFmtId="169" formatCode="0.0"/>
    <numFmt numFmtId="170" formatCode="0.0000"/>
    <numFmt numFmtId="171" formatCode="#,##0.000"/>
    <numFmt numFmtId="172" formatCode="0.00000000"/>
    <numFmt numFmtId="173" formatCode="0.0000000"/>
    <numFmt numFmtId="174" formatCode="#,##0.00000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/>
    <font>
      <color rgb="FFFFFFFF"/>
      <name val="Arial"/>
    </font>
    <font>
      <color rgb="FFFFFFFF"/>
      <name val="Roboto"/>
    </font>
    <font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3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  <border>
      <left style="thin">
        <color rgb="FFF6F8F9"/>
      </lef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0" xfId="0" applyFont="1" applyNumberFormat="1"/>
    <xf borderId="0" fillId="0" fontId="2" numFmtId="165" xfId="0" applyFont="1" applyNumberFormat="1"/>
    <xf borderId="1" fillId="0" fontId="2" numFmtId="49" xfId="0" applyAlignment="1" applyBorder="1" applyFont="1" applyNumberFormat="1">
      <alignment horizontal="left" readingOrder="0" shrinkToFit="0" vertical="center" wrapText="0"/>
    </xf>
    <xf borderId="2" fillId="0" fontId="2" numFmtId="49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3" fillId="0" fontId="2" numFmtId="165" xfId="0" applyAlignment="1" applyBorder="1" applyFont="1" applyNumberFormat="1">
      <alignment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6" fillId="0" fontId="2" numFmtId="165" xfId="0" applyAlignment="1" applyBorder="1" applyFont="1" applyNumberFormat="1">
      <alignment shrinkToFit="0" vertical="center" wrapText="0"/>
    </xf>
    <xf borderId="0" fillId="0" fontId="2" numFmtId="167" xfId="0" applyFont="1" applyNumberFormat="1"/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readingOrder="0"/>
    </xf>
    <xf borderId="0" fillId="0" fontId="2" numFmtId="168" xfId="0" applyFont="1" applyNumberFormat="1"/>
    <xf borderId="0" fillId="0" fontId="2" numFmtId="169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readingOrder="0" vertical="bottom"/>
    </xf>
    <xf borderId="7" fillId="0" fontId="4" numFmtId="0" xfId="0" applyAlignment="1" applyBorder="1" applyFont="1">
      <alignment readingOrder="0"/>
    </xf>
    <xf borderId="8" fillId="0" fontId="2" numFmtId="0" xfId="0" applyBorder="1" applyFont="1"/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1" fillId="0" fontId="3" numFmtId="0" xfId="0" applyAlignment="1" applyBorder="1" applyFont="1">
      <alignment horizontal="left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2" numFmtId="170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11" fillId="0" fontId="2" numFmtId="171" xfId="0" applyAlignment="1" applyBorder="1" applyFont="1" applyNumberFormat="1">
      <alignment horizontal="center" readingOrder="0" shrinkToFit="0" vertical="center" wrapText="0"/>
    </xf>
    <xf borderId="0" fillId="0" fontId="3" numFmtId="170" xfId="0" applyAlignment="1" applyFont="1" applyNumberFormat="1">
      <alignment horizontal="center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11" fillId="0" fontId="3" numFmtId="171" xfId="0" applyAlignment="1" applyBorder="1" applyFont="1" applyNumberFormat="1">
      <alignment horizontal="center" readingOrder="0" shrinkToFit="0" vertical="bottom" wrapText="0"/>
    </xf>
    <xf borderId="10" fillId="0" fontId="3" numFmtId="0" xfId="0" applyAlignment="1" applyBorder="1" applyFont="1">
      <alignment horizontal="right"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1" fillId="0" fontId="3" numFmtId="171" xfId="0" applyAlignment="1" applyBorder="1" applyFont="1" applyNumberForma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70" xfId="0" applyAlignment="1" applyFont="1" applyNumberFormat="1">
      <alignment readingOrder="0" shrinkToFit="0" vertical="bottom" wrapText="0"/>
    </xf>
    <xf borderId="0" fillId="0" fontId="2" numFmtId="170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8" fillId="0" fontId="4" numFmtId="0" xfId="0" applyAlignment="1" applyBorder="1" applyFont="1">
      <alignment readingOrder="0"/>
    </xf>
    <xf borderId="9" fillId="0" fontId="2" numFmtId="0" xfId="0" applyBorder="1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11" fillId="0" fontId="2" numFmtId="0" xfId="0" applyBorder="1" applyFont="1"/>
    <xf borderId="0" fillId="0" fontId="2" numFmtId="170" xfId="0" applyAlignment="1" applyFont="1" applyNumberFormat="1">
      <alignment shrinkToFit="0" vertical="center" wrapText="0"/>
    </xf>
    <xf borderId="0" fillId="4" fontId="5" numFmtId="165" xfId="0" applyAlignment="1" applyFill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4" fontId="3" numFmtId="170" xfId="0" applyAlignment="1" applyFont="1" applyNumberFormat="1">
      <alignment readingOrder="0" vertical="bottom"/>
    </xf>
    <xf borderId="0" fillId="4" fontId="2" numFmtId="170" xfId="0" applyAlignment="1" applyFont="1" applyNumberFormat="1">
      <alignment readingOrder="0"/>
    </xf>
    <xf borderId="0" fillId="4" fontId="2" numFmtId="0" xfId="0" applyFont="1"/>
    <xf borderId="0" fillId="4" fontId="2" numFmtId="165" xfId="0" applyAlignment="1" applyFont="1" applyNumberFormat="1">
      <alignment readingOrder="0"/>
    </xf>
    <xf borderId="0" fillId="5" fontId="2" numFmtId="0" xfId="0" applyFill="1" applyFont="1"/>
    <xf borderId="0" fillId="5" fontId="5" numFmtId="170" xfId="0" applyAlignment="1" applyFont="1" applyNumberFormat="1">
      <alignment horizontal="center" readingOrder="0" vertical="bottom"/>
    </xf>
    <xf borderId="0" fillId="5" fontId="1" numFmtId="165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5" fontId="5" numFmtId="165" xfId="0" applyAlignment="1" applyFont="1" applyNumberFormat="1">
      <alignment horizontal="center" vertical="bottom"/>
    </xf>
    <xf borderId="0" fillId="5" fontId="1" numFmtId="0" xfId="0" applyAlignment="1" applyFont="1">
      <alignment horizontal="center"/>
    </xf>
    <xf borderId="0" fillId="0" fontId="2" numFmtId="172" xfId="0" applyAlignment="1" applyFont="1" applyNumberFormat="1">
      <alignment horizontal="center"/>
    </xf>
    <xf borderId="0" fillId="0" fontId="3" numFmtId="172" xfId="0" applyAlignment="1" applyFont="1" applyNumberFormat="1">
      <alignment horizontal="center" vertical="bottom"/>
    </xf>
    <xf borderId="0" fillId="6" fontId="1" numFmtId="0" xfId="0" applyAlignment="1" applyFill="1" applyFont="1">
      <alignment horizontal="center" readingOrder="0"/>
    </xf>
    <xf borderId="0" fillId="6" fontId="2" numFmtId="172" xfId="0" applyAlignment="1" applyFont="1" applyNumberFormat="1">
      <alignment horizontal="center"/>
    </xf>
    <xf borderId="0" fillId="6" fontId="3" numFmtId="172" xfId="0" applyAlignment="1" applyFont="1" applyNumberFormat="1">
      <alignment horizontal="center" vertical="bottom"/>
    </xf>
    <xf borderId="0" fillId="6" fontId="3" numFmtId="0" xfId="0" applyAlignment="1" applyFont="1">
      <alignment horizontal="center" vertical="bottom"/>
    </xf>
    <xf borderId="0" fillId="6" fontId="2" numFmtId="0" xfId="0" applyAlignment="1" applyFont="1">
      <alignment horizontal="center"/>
    </xf>
    <xf borderId="10" fillId="0" fontId="2" numFmtId="0" xfId="0" applyBorder="1" applyFont="1"/>
    <xf borderId="0" fillId="7" fontId="1" numFmtId="0" xfId="0" applyAlignment="1" applyFill="1" applyFont="1">
      <alignment readingOrder="0"/>
    </xf>
    <xf borderId="0" fillId="7" fontId="2" numFmtId="165" xfId="0" applyAlignment="1" applyFont="1" applyNumberFormat="1">
      <alignment readingOrder="0"/>
    </xf>
    <xf borderId="10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10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0" fillId="0" fontId="2" numFmtId="171" xfId="0" applyAlignment="1" applyFont="1" applyNumberFormat="1">
      <alignment horizontal="center" readingOrder="0" shrinkToFit="0" vertical="center" wrapText="0"/>
    </xf>
    <xf borderId="0" fillId="0" fontId="2" numFmtId="17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1" fillId="0" fontId="2" numFmtId="0" xfId="0" applyAlignment="1" applyBorder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171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10" fillId="6" fontId="1" numFmtId="0" xfId="0" applyAlignment="1" applyBorder="1" applyFont="1">
      <alignment horizontal="center" readingOrder="0" shrinkToFit="0" vertical="center" wrapText="0"/>
    </xf>
    <xf borderId="0" fillId="6" fontId="2" numFmtId="171" xfId="0" applyAlignment="1" applyFont="1" applyNumberFormat="1">
      <alignment horizontal="center" shrinkToFit="0" vertical="center" wrapText="0"/>
    </xf>
    <xf borderId="0" fillId="6" fontId="2" numFmtId="173" xfId="0" applyAlignment="1" applyFont="1" applyNumberFormat="1">
      <alignment horizontal="center" shrinkToFit="0" vertical="center" wrapText="0"/>
    </xf>
    <xf borderId="0" fillId="6" fontId="2" numFmtId="0" xfId="0" applyAlignment="1" applyFont="1">
      <alignment horizontal="center" shrinkToFit="0" vertical="center" wrapText="0"/>
    </xf>
    <xf borderId="0" fillId="6" fontId="2" numFmtId="164" xfId="0" applyAlignment="1" applyFont="1" applyNumberFormat="1">
      <alignment horizontal="center" shrinkToFit="0" vertical="center" wrapText="0"/>
    </xf>
    <xf borderId="11" fillId="6" fontId="2" numFmtId="0" xfId="0" applyAlignment="1" applyBorder="1" applyFon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2" numFmtId="171" xfId="0" applyAlignment="1" applyFont="1" applyNumberFormat="1">
      <alignment shrinkToFit="0" vertical="center" wrapText="0"/>
    </xf>
    <xf borderId="0" fillId="6" fontId="2" numFmtId="164" xfId="0" applyAlignment="1" applyFont="1" applyNumberFormat="1">
      <alignment shrinkToFit="0" vertical="center" wrapText="0"/>
    </xf>
    <xf borderId="0" fillId="6" fontId="2" numFmtId="10" xfId="0" applyAlignment="1" applyFont="1" applyNumberFormat="1">
      <alignment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11" fillId="0" fontId="2" numFmtId="165" xfId="0" applyAlignment="1" applyBorder="1" applyFont="1" applyNumberFormat="1">
      <alignment horizontal="center" readingOrder="0" shrinkToFit="0" vertical="center" wrapText="0"/>
    </xf>
    <xf borderId="7" fillId="0" fontId="2" numFmtId="0" xfId="0" applyBorder="1" applyFont="1"/>
    <xf borderId="10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1" fillId="0" fontId="3" numFmtId="165" xfId="0" applyAlignment="1" applyBorder="1" applyFont="1" applyNumberFormat="1">
      <alignment shrinkToFit="0" vertical="bottom" wrapText="0"/>
    </xf>
    <xf borderId="10" fillId="2" fontId="1" numFmtId="0" xfId="0" applyAlignment="1" applyBorder="1" applyFont="1">
      <alignment readingOrder="0"/>
    </xf>
    <xf borderId="0" fillId="0" fontId="5" numFmtId="0" xfId="0" applyAlignment="1" applyFont="1">
      <alignment horizontal="center" readingOrder="0" vertical="bottom"/>
    </xf>
    <xf borderId="11" fillId="0" fontId="6" numFmtId="0" xfId="0" applyBorder="1" applyFont="1"/>
    <xf borderId="10" fillId="0" fontId="2" numFmtId="0" xfId="0" applyAlignment="1" applyBorder="1" applyFont="1">
      <alignment readingOrder="0"/>
    </xf>
    <xf borderId="11" fillId="4" fontId="2" numFmtId="0" xfId="0" applyBorder="1" applyFont="1"/>
    <xf borderId="11" fillId="5" fontId="1" numFmtId="0" xfId="0" applyAlignment="1" applyBorder="1" applyFont="1">
      <alignment horizontal="center" readingOrder="0"/>
    </xf>
    <xf borderId="0" fillId="8" fontId="2" numFmtId="172" xfId="0" applyAlignment="1" applyFill="1" applyFont="1" applyNumberFormat="1">
      <alignment horizontal="center"/>
    </xf>
    <xf borderId="0" fillId="8" fontId="3" numFmtId="172" xfId="0" applyAlignment="1" applyFont="1" applyNumberFormat="1">
      <alignment horizontal="center" vertical="bottom"/>
    </xf>
    <xf borderId="11" fillId="0" fontId="2" numFmtId="172" xfId="0" applyAlignment="1" applyBorder="1" applyFont="1" applyNumberFormat="1">
      <alignment horizontal="center"/>
    </xf>
    <xf borderId="0" fillId="9" fontId="2" numFmtId="172" xfId="0" applyAlignment="1" applyFill="1" applyFont="1" applyNumberFormat="1">
      <alignment horizontal="center"/>
    </xf>
    <xf borderId="0" fillId="9" fontId="3" numFmtId="172" xfId="0" applyAlignment="1" applyFont="1" applyNumberFormat="1">
      <alignment horizontal="center" vertical="bottom"/>
    </xf>
    <xf borderId="0" fillId="9" fontId="2" numFmtId="173" xfId="0" applyAlignment="1" applyFont="1" applyNumberFormat="1">
      <alignment horizontal="center"/>
    </xf>
    <xf borderId="0" fillId="9" fontId="3" numFmtId="173" xfId="0" applyAlignment="1" applyFont="1" applyNumberFormat="1">
      <alignment horizontal="center" vertical="bottom"/>
    </xf>
    <xf borderId="0" fillId="0" fontId="2" numFmtId="173" xfId="0" applyAlignment="1" applyFont="1" applyNumberFormat="1">
      <alignment horizontal="center"/>
    </xf>
    <xf borderId="11" fillId="0" fontId="2" numFmtId="173" xfId="0" applyAlignment="1" applyBorder="1" applyFont="1" applyNumberFormat="1">
      <alignment horizontal="center"/>
    </xf>
    <xf borderId="0" fillId="8" fontId="2" numFmtId="173" xfId="0" applyAlignment="1" applyFont="1" applyNumberFormat="1">
      <alignment horizontal="center"/>
    </xf>
    <xf borderId="0" fillId="8" fontId="3" numFmtId="173" xfId="0" applyAlignment="1" applyFont="1" applyNumberFormat="1">
      <alignment horizontal="center"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0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1" fillId="0" fontId="3" numFmtId="165" xfId="0" applyAlignment="1" applyBorder="1" applyFont="1" applyNumberFormat="1">
      <alignment shrinkToFit="0" vertical="bottom" wrapText="0"/>
    </xf>
    <xf borderId="0" fillId="4" fontId="2" numFmtId="171" xfId="0" applyAlignment="1" applyFont="1" applyNumberFormat="1">
      <alignment readingOrder="0"/>
    </xf>
    <xf borderId="0" fillId="6" fontId="2" numFmtId="173" xfId="0" applyAlignment="1" applyFont="1" applyNumberFormat="1">
      <alignment horizontal="center"/>
    </xf>
    <xf borderId="0" fillId="6" fontId="3" numFmtId="173" xfId="0" applyAlignment="1" applyFont="1" applyNumberFormat="1">
      <alignment horizontal="center" vertical="bottom"/>
    </xf>
    <xf borderId="11" fillId="6" fontId="2" numFmtId="173" xfId="0" applyAlignment="1" applyBorder="1" applyFont="1" applyNumberFormat="1">
      <alignment horizontal="center"/>
    </xf>
    <xf borderId="10" fillId="0" fontId="1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72" xfId="0" applyAlignment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0" fillId="7" fontId="2" numFmtId="171" xfId="0" applyAlignment="1" applyFont="1" applyNumberFormat="1">
      <alignment readingOrder="0"/>
    </xf>
    <xf borderId="14" fillId="6" fontId="1" numFmtId="0" xfId="0" applyAlignment="1" applyBorder="1" applyFont="1">
      <alignment horizontal="center" readingOrder="0" shrinkToFit="0" vertical="center" wrapText="0"/>
    </xf>
    <xf borderId="12" fillId="6" fontId="2" numFmtId="0" xfId="0" applyAlignment="1" applyBorder="1" applyFont="1">
      <alignment horizontal="center" readingOrder="0" shrinkToFit="0" vertical="center" wrapText="0"/>
    </xf>
    <xf borderId="12" fillId="6" fontId="2" numFmtId="164" xfId="0" applyAlignment="1" applyBorder="1" applyFont="1" applyNumberFormat="1">
      <alignment horizontal="center" readingOrder="0" shrinkToFit="0" vertical="center" wrapText="0"/>
    </xf>
    <xf borderId="12" fillId="6" fontId="2" numFmtId="173" xfId="0" applyAlignment="1" applyBorder="1" applyFont="1" applyNumberFormat="1">
      <alignment horizontal="center" readingOrder="0" shrinkToFit="0" vertical="center" wrapText="0"/>
    </xf>
    <xf borderId="12" fillId="6" fontId="2" numFmtId="172" xfId="0" applyAlignment="1" applyBorder="1" applyFont="1" applyNumberFormat="1">
      <alignment horizontal="center" shrinkToFit="0" vertical="center" wrapText="0"/>
    </xf>
    <xf borderId="13" fillId="6" fontId="2" numFmtId="164" xfId="0" applyAlignment="1" applyBorder="1" applyFont="1" applyNumberFormat="1">
      <alignment horizontal="center" readingOrder="0" shrinkToFit="0" vertical="center" wrapText="0"/>
    </xf>
    <xf borderId="0" fillId="0" fontId="2" numFmtId="0" xfId="0" applyFont="1"/>
    <xf borderId="0" fillId="6" fontId="1" numFmtId="0" xfId="0" applyAlignment="1" applyFont="1">
      <alignment readingOrder="0"/>
    </xf>
    <xf borderId="0" fillId="6" fontId="2" numFmtId="10" xfId="0" applyAlignment="1" applyFont="1" applyNumberFormat="1">
      <alignment horizontal="center" shrinkToFit="0" vertical="center" wrapText="0"/>
    </xf>
    <xf borderId="0" fillId="0" fontId="3" numFmtId="0" xfId="0" applyAlignment="1" applyFont="1">
      <alignment vertical="bottom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1" fillId="0" fontId="3" numFmtId="0" xfId="0" applyAlignment="1" applyBorder="1" applyFont="1">
      <alignment horizontal="center" readingOrder="0" shrinkToFit="0" vertical="bottom" wrapText="0"/>
    </xf>
    <xf borderId="10" fillId="0" fontId="3" numFmtId="49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10" fillId="0" fontId="3" numFmtId="49" xfId="0" applyAlignment="1" applyBorder="1" applyFont="1" applyNumberForma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5" fillId="10" fontId="7" numFmtId="0" xfId="0" applyAlignment="1" applyBorder="1" applyFill="1" applyFont="1">
      <alignment horizontal="left" readingOrder="0" shrinkToFit="0" vertical="bottom" wrapText="0"/>
    </xf>
    <xf borderId="16" fillId="10" fontId="7" numFmtId="0" xfId="0" applyAlignment="1" applyBorder="1" applyFont="1">
      <alignment horizontal="left" readingOrder="0" shrinkToFit="0" vertical="bottom" wrapText="0"/>
    </xf>
    <xf borderId="17" fillId="10" fontId="7" numFmtId="0" xfId="0" applyAlignment="1" applyBorder="1" applyFont="1">
      <alignment horizontal="left" readingOrder="0" shrinkToFit="0" vertical="bottom" wrapText="0"/>
    </xf>
    <xf borderId="10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8" fontId="3" numFmtId="165" xfId="0" applyAlignment="1" applyFont="1" applyNumberFormat="1">
      <alignment horizontal="center" vertical="bottom"/>
    </xf>
    <xf borderId="0" fillId="5" fontId="5" numFmtId="0" xfId="0" applyAlignment="1" applyFont="1">
      <alignment horizontal="center" readingOrder="0" vertical="bottom"/>
    </xf>
    <xf borderId="0" fillId="8" fontId="2" numFmtId="168" xfId="0" applyAlignment="1" applyFont="1" applyNumberFormat="1">
      <alignment horizontal="center"/>
    </xf>
    <xf borderId="0" fillId="8" fontId="3" numFmtId="168" xfId="0" applyAlignment="1" applyFont="1" applyNumberFormat="1">
      <alignment horizontal="center" vertical="bottom"/>
    </xf>
    <xf borderId="0" fillId="0" fontId="2" numFmtId="168" xfId="0" applyAlignment="1" applyFont="1" applyNumberFormat="1">
      <alignment horizontal="center"/>
    </xf>
    <xf borderId="11" fillId="0" fontId="2" numFmtId="168" xfId="0" applyAlignment="1" applyBorder="1" applyFont="1" applyNumberFormat="1">
      <alignment horizontal="center"/>
    </xf>
    <xf borderId="0" fillId="9" fontId="2" numFmtId="168" xfId="0" applyAlignment="1" applyFont="1" applyNumberFormat="1">
      <alignment horizontal="center"/>
    </xf>
    <xf borderId="0" fillId="9" fontId="3" numFmtId="168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8" fontId="3" numFmtId="169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5" numFmtId="0" xfId="0" applyAlignment="1" applyFont="1">
      <alignment horizontal="center" readingOrder="0" vertical="bottom"/>
    </xf>
    <xf borderId="0" fillId="6" fontId="2" numFmtId="168" xfId="0" applyAlignment="1" applyFont="1" applyNumberFormat="1">
      <alignment horizontal="center"/>
    </xf>
    <xf borderId="0" fillId="6" fontId="3" numFmtId="168" xfId="0" applyAlignment="1" applyFont="1" applyNumberFormat="1">
      <alignment horizontal="center" vertical="bottom"/>
    </xf>
    <xf borderId="11" fillId="6" fontId="2" numFmtId="168" xfId="0" applyAlignment="1" applyBorder="1" applyFont="1" applyNumberFormat="1">
      <alignment horizontal="center"/>
    </xf>
    <xf borderId="11" fillId="6" fontId="3" numFmtId="168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1" fillId="0" fontId="2" numFmtId="0" xfId="0" applyAlignment="1" applyBorder="1" applyFont="1">
      <alignment horizontal="center"/>
    </xf>
    <xf borderId="0" fillId="4" fontId="5" numFmtId="0" xfId="0" applyAlignment="1" applyFont="1">
      <alignment readingOrder="0" vertical="bottom"/>
    </xf>
    <xf borderId="0" fillId="4" fontId="3" numFmtId="171" xfId="0" applyAlignment="1" applyFont="1" applyNumberFormat="1">
      <alignment horizontal="right" readingOrder="0" vertical="bottom"/>
    </xf>
    <xf borderId="15" fillId="10" fontId="8" numFmtId="0" xfId="0" applyAlignment="1" applyBorder="1" applyFont="1">
      <alignment horizontal="left" readingOrder="0" shrinkToFit="0" vertical="center" wrapText="0"/>
    </xf>
    <xf borderId="16" fillId="10" fontId="8" numFmtId="0" xfId="0" applyAlignment="1" applyBorder="1" applyFont="1">
      <alignment horizontal="left" readingOrder="0" shrinkToFit="0" vertical="center" wrapText="0"/>
    </xf>
    <xf borderId="17" fillId="10" fontId="8" numFmtId="0" xfId="0" applyAlignment="1" applyBorder="1" applyFont="1">
      <alignment horizontal="left" readingOrder="0" shrinkToFit="0" vertical="center" wrapText="0"/>
    </xf>
    <xf borderId="18" fillId="8" fontId="9" numFmtId="171" xfId="0" applyAlignment="1" applyBorder="1" applyFont="1" applyNumberFormat="1">
      <alignment horizontal="center" shrinkToFit="0" vertical="center" wrapText="0"/>
    </xf>
    <xf borderId="19" fillId="8" fontId="9" numFmtId="171" xfId="0" applyAlignment="1" applyBorder="1" applyFont="1" applyNumberFormat="1">
      <alignment horizontal="center" shrinkToFit="0" vertical="center" wrapText="0"/>
    </xf>
    <xf borderId="20" fillId="8" fontId="9" numFmtId="171" xfId="0" applyAlignment="1" applyBorder="1" applyFont="1" applyNumberFormat="1">
      <alignment horizontal="center" shrinkToFit="0" vertical="center" wrapText="0"/>
    </xf>
    <xf borderId="21" fillId="9" fontId="9" numFmtId="171" xfId="0" applyAlignment="1" applyBorder="1" applyFont="1" applyNumberFormat="1">
      <alignment horizontal="center" shrinkToFit="0" vertical="center" wrapText="0"/>
    </xf>
    <xf borderId="22" fillId="9" fontId="9" numFmtId="171" xfId="0" applyAlignment="1" applyBorder="1" applyFont="1" applyNumberFormat="1">
      <alignment horizontal="center" shrinkToFit="0" vertical="center" wrapText="0"/>
    </xf>
    <xf borderId="4" fillId="0" fontId="2" numFmtId="10" xfId="0" applyAlignment="1" applyBorder="1" applyFont="1" applyNumberFormat="1">
      <alignment horizontal="center" shrinkToFit="0" vertical="center" wrapText="0"/>
    </xf>
    <xf borderId="21" fillId="9" fontId="9" numFmtId="171" xfId="0" applyAlignment="1" applyBorder="1" applyFont="1" applyNumberFormat="1">
      <alignment horizontal="center" shrinkToFit="0" wrapText="0"/>
    </xf>
    <xf borderId="19" fillId="9" fontId="9" numFmtId="171" xfId="0" applyAlignment="1" applyBorder="1" applyFont="1" applyNumberFormat="1">
      <alignment horizontal="center" shrinkToFit="0" wrapText="0"/>
    </xf>
    <xf borderId="22" fillId="9" fontId="9" numFmtId="171" xfId="0" applyAlignment="1" applyBorder="1" applyFont="1" applyNumberFormat="1">
      <alignment horizontal="center" shrinkToFit="0" wrapText="0"/>
    </xf>
    <xf borderId="4" fillId="9" fontId="2" numFmtId="10" xfId="0" applyAlignment="1" applyBorder="1" applyFont="1" applyNumberFormat="1">
      <alignment horizontal="center"/>
    </xf>
    <xf borderId="10" fillId="0" fontId="3" numFmtId="0" xfId="0" applyAlignment="1" applyBorder="1" applyFont="1">
      <alignment readingOrder="0" vertical="bottom"/>
    </xf>
    <xf borderId="23" fillId="6" fontId="9" numFmtId="171" xfId="0" applyAlignment="1" applyBorder="1" applyFont="1" applyNumberFormat="1">
      <alignment horizontal="center" shrinkToFit="0" wrapText="0"/>
    </xf>
    <xf borderId="24" fillId="6" fontId="9" numFmtId="171" xfId="0" applyAlignment="1" applyBorder="1" applyFont="1" applyNumberFormat="1">
      <alignment horizontal="center" shrinkToFit="0" wrapText="0"/>
    </xf>
    <xf borderId="25" fillId="6" fontId="9" numFmtId="171" xfId="0" applyAlignment="1" applyBorder="1" applyFont="1" applyNumberFormat="1">
      <alignment horizontal="center" shrinkToFit="0" wrapText="0"/>
    </xf>
    <xf borderId="25" fillId="6" fontId="9" numFmtId="10" xfId="0" applyAlignment="1" applyBorder="1" applyFont="1" applyNumberFormat="1">
      <alignment horizontal="center" shrinkToFit="0" wrapText="0"/>
    </xf>
    <xf borderId="14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2" fillId="0" fontId="2" numFmtId="10" xfId="0" applyBorder="1" applyFont="1" applyNumberFormat="1"/>
    <xf borderId="0" fillId="0" fontId="2" numFmtId="171" xfId="0" applyFont="1" applyNumberFormat="1"/>
    <xf borderId="10" fillId="0" fontId="1" numFmtId="0" xfId="0" applyAlignment="1" applyBorder="1" applyFon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2" fillId="0" fontId="2" numFmtId="165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0" fillId="5" fontId="2" numFmtId="0" xfId="0" applyAlignment="1" applyFont="1">
      <alignment horizontal="center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11" fillId="0" fontId="3" numFmtId="0" xfId="0" applyAlignment="1" applyBorder="1" applyFont="1">
      <alignment horizontal="right" shrinkToFit="0" vertical="bottom" wrapText="0"/>
    </xf>
    <xf borderId="0" fillId="8" fontId="3" numFmtId="165" xfId="0" applyAlignment="1" applyFont="1" applyNumberFormat="1">
      <alignment horizontal="right" vertical="bottom"/>
    </xf>
    <xf borderId="18" fillId="8" fontId="9" numFmtId="164" xfId="0" applyAlignment="1" applyBorder="1" applyFont="1" applyNumberFormat="1">
      <alignment horizontal="center" shrinkToFit="0" vertical="center" wrapText="0"/>
    </xf>
    <xf borderId="21" fillId="9" fontId="9" numFmtId="164" xfId="0" applyAlignment="1" applyBorder="1" applyFont="1" applyNumberFormat="1">
      <alignment horizontal="center" shrinkToFit="0" vertical="center" wrapText="0"/>
    </xf>
    <xf borderId="26" fillId="8" fontId="9" numFmtId="171" xfId="0" applyAlignment="1" applyBorder="1" applyFont="1" applyNumberFormat="1">
      <alignment horizontal="center" shrinkToFit="0" vertical="center" wrapText="0"/>
    </xf>
    <xf borderId="27" fillId="0" fontId="2" numFmtId="10" xfId="0" applyAlignment="1" applyBorder="1" applyFont="1" applyNumberFormat="1">
      <alignment horizontal="center" shrinkToFit="0" vertical="center" wrapText="0"/>
    </xf>
    <xf borderId="28" fillId="9" fontId="9" numFmtId="171" xfId="0" applyAlignment="1" applyBorder="1" applyFont="1" applyNumberFormat="1">
      <alignment horizontal="center" shrinkToFit="0" vertical="center" wrapText="0"/>
    </xf>
    <xf borderId="29" fillId="0" fontId="2" numFmtId="10" xfId="0" applyAlignment="1" applyBorder="1" applyFont="1" applyNumberFormat="1">
      <alignment horizontal="center" shrinkToFit="0" vertical="center" wrapText="0"/>
    </xf>
    <xf borderId="21" fillId="9" fontId="9" numFmtId="174" xfId="0" applyAlignment="1" applyBorder="1" applyFont="1" applyNumberFormat="1">
      <alignment horizontal="center" shrinkToFit="0" wrapText="0"/>
    </xf>
    <xf borderId="19" fillId="8" fontId="9" numFmtId="171" xfId="0" applyAlignment="1" applyBorder="1" applyFont="1" applyNumberFormat="1">
      <alignment horizontal="center" shrinkToFit="0" wrapText="0"/>
    </xf>
    <xf borderId="28" fillId="9" fontId="9" numFmtId="171" xfId="0" applyAlignment="1" applyBorder="1" applyFont="1" applyNumberFormat="1">
      <alignment horizontal="center" shrinkToFit="0" wrapText="0"/>
    </xf>
    <xf borderId="29" fillId="0" fontId="2" numFmtId="10" xfId="0" applyAlignment="1" applyBorder="1" applyFont="1" applyNumberFormat="1">
      <alignment horizontal="center"/>
    </xf>
    <xf borderId="23" fillId="6" fontId="9" numFmtId="164" xfId="0" applyAlignment="1" applyBorder="1" applyFont="1" applyNumberFormat="1">
      <alignment horizontal="center" shrinkToFit="0" wrapText="0"/>
    </xf>
    <xf borderId="30" fillId="6" fontId="9" numFmtId="171" xfId="0" applyAlignment="1" applyBorder="1" applyFont="1" applyNumberFormat="1">
      <alignment horizontal="center" shrinkToFit="0" wrapText="0"/>
    </xf>
    <xf borderId="31" fillId="6" fontId="9" numFmtId="10" xfId="0" applyAlignment="1" applyBorder="1" applyFont="1" applyNumberFormat="1">
      <alignment horizontal="center" shrinkToFit="0" wrapText="0"/>
    </xf>
    <xf borderId="0" fillId="0" fontId="3" numFmtId="0" xfId="0" applyAlignment="1" applyFont="1">
      <alignment vertical="bottom"/>
    </xf>
    <xf borderId="11" fillId="0" fontId="2" numFmtId="0" xfId="0" applyAlignment="1" applyBorder="1" applyFont="1">
      <alignment horizontal="left" readingOrder="0"/>
    </xf>
    <xf borderId="14" fillId="6" fontId="1" numFmtId="0" xfId="0" applyAlignment="1" applyBorder="1" applyFont="1">
      <alignment horizontal="center" readingOrder="0" shrinkToFit="0" vertical="center" wrapText="0"/>
    </xf>
    <xf borderId="12" fillId="6" fontId="2" numFmtId="0" xfId="0" applyAlignment="1" applyBorder="1" applyFont="1">
      <alignment horizontal="center" shrinkToFit="0" vertical="center" wrapText="0"/>
    </xf>
    <xf borderId="12" fillId="6" fontId="2" numFmtId="165" xfId="0" applyAlignment="1" applyBorder="1" applyFont="1" applyNumberFormat="1">
      <alignment horizontal="center" shrinkToFit="0" vertical="center" wrapText="0"/>
    </xf>
    <xf borderId="12" fillId="6" fontId="2" numFmtId="168" xfId="0" applyAlignment="1" applyBorder="1" applyFont="1" applyNumberFormat="1">
      <alignment horizontal="center" shrinkToFit="0" vertical="center" wrapText="0"/>
    </xf>
    <xf borderId="13" fillId="6" fontId="2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30">
    <tableStyle count="4" pivot="0" name="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1 Evol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1 Evolu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ckage 1 Evolution-style 3">
      <tableStyleElement dxfId="2" type="firstRowStripe"/>
      <tableStyleElement dxfId="3" type="secondRowStripe"/>
    </tableStyle>
    <tableStyle count="2" pivot="0" name="Package 1 Evolution-style 4">
      <tableStyleElement dxfId="3" type="firstRowStripe"/>
      <tableStyleElement dxfId="2" type="secondRowStripe"/>
    </tableStyle>
    <tableStyle count="2" pivot="0" name="Package 1 Evolution-style 5">
      <tableStyleElement dxfId="2" type="firstRowStripe"/>
      <tableStyleElement dxfId="3" type="secondRowStripe"/>
    </tableStyle>
    <tableStyle count="2" pivot="0" name="Package 1 Evolution-style 6">
      <tableStyleElement dxfId="2" type="firstRowStripe"/>
      <tableStyleElement dxfId="3" type="secondRowStripe"/>
    </tableStyle>
    <tableStyle count="2" pivot="0" name="Package 1 Evolution-style 7">
      <tableStyleElement dxfId="2" type="firstRowStripe"/>
      <tableStyleElement dxfId="3" type="secondRowStripe"/>
    </tableStyle>
    <tableStyle count="4" pivot="0" name="Package 1 Evolu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1 Evolutio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2 Evol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2 Evolu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ckage 2 Evolution-style 3">
      <tableStyleElement dxfId="2" type="firstRowStripe"/>
      <tableStyleElement dxfId="3" type="secondRowStripe"/>
    </tableStyle>
    <tableStyle count="2" pivot="0" name="Package 2 Evolution-style 4">
      <tableStyleElement dxfId="2" type="firstRowStripe"/>
      <tableStyleElement dxfId="3" type="secondRowStripe"/>
    </tableStyle>
    <tableStyle count="4" pivot="0" name="Package 2 Evolu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2 Evolu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3 Evol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3 Evolu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ckage 3 Evolution-style 3">
      <tableStyleElement dxfId="2" type="firstRowStripe"/>
      <tableStyleElement dxfId="3" type="secondRowStripe"/>
    </tableStyle>
    <tableStyle count="2" pivot="0" name="Package 3 Evolution-style 4">
      <tableStyleElement dxfId="2" type="firstRowStripe"/>
      <tableStyleElement dxfId="3" type="secondRowStripe"/>
    </tableStyle>
    <tableStyle count="4" pivot="0" name="Package 3 Evolu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ackage 3 Evolution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ackage 4 Evol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4 Evolu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ckage 4 Evolution-style 3">
      <tableStyleElement dxfId="2" type="firstRowStripe"/>
      <tableStyleElement dxfId="3" type="secondRowStripe"/>
    </tableStyle>
    <tableStyle count="2" pivot="0" name="Package 4 Evolution-style 4">
      <tableStyleElement dxfId="2" type="firstRowStripe"/>
      <tableStyleElement dxfId="3" type="secondRowStripe"/>
    </tableStyle>
    <tableStyle count="4" pivot="0" name="Package 4 Evolu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 4 Evolution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General!$B$13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General!$A$14:$A$17</c:f>
            </c:strRef>
          </c:cat>
          <c:val>
            <c:numRef>
              <c:f>General!$B$14:$B$17</c:f>
              <c:numCache/>
            </c:numRef>
          </c:val>
        </c:ser>
        <c:ser>
          <c:idx val="1"/>
          <c:order val="1"/>
          <c:tx>
            <c:strRef>
              <c:f>General!$C$13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General!$A$14:$A$17</c:f>
            </c:strRef>
          </c:cat>
          <c:val>
            <c:numRef>
              <c:f>General!$C$14:$C$17</c:f>
              <c:numCache/>
            </c:numRef>
          </c:val>
        </c:ser>
        <c:ser>
          <c:idx val="2"/>
          <c:order val="2"/>
          <c:tx>
            <c:strRef>
              <c:f>General!$D$13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General!$A$14:$A$17</c:f>
            </c:strRef>
          </c:cat>
          <c:val>
            <c:numRef>
              <c:f>General!$D$14:$D$17</c:f>
              <c:numCache/>
            </c:numRef>
          </c:val>
        </c:ser>
        <c:ser>
          <c:idx val="3"/>
          <c:order val="3"/>
          <c:tx>
            <c:strRef>
              <c:f>General!$E$13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General!$A$14:$A$17</c:f>
            </c:strRef>
          </c:cat>
          <c:val>
            <c:numRef>
              <c:f>General!$E$14:$E$17</c:f>
              <c:numCache/>
            </c:numRef>
          </c:val>
        </c:ser>
        <c:ser>
          <c:idx val="4"/>
          <c:order val="4"/>
          <c:tx>
            <c:strRef>
              <c:f>General!$F$13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General!$A$14:$A$17</c:f>
            </c:strRef>
          </c:cat>
          <c:val>
            <c:numRef>
              <c:f>General!$F$14:$F$17</c:f>
              <c:numCache/>
            </c:numRef>
          </c:val>
        </c:ser>
        <c:axId val="2025529324"/>
        <c:axId val="1280654173"/>
      </c:areaChart>
      <c:catAx>
        <c:axId val="2025529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654173"/>
      </c:catAx>
      <c:valAx>
        <c:axId val="1280654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 (L)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529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13</xdr:row>
      <xdr:rowOff>9525</xdr:rowOff>
    </xdr:from>
    <xdr:ext cx="6200775" cy="3686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E8" displayName="Manual_measurements_of_the_Boxes" name="Manual_measurements_of_the_Boxes" id="1">
  <tableColumns count="5">
    <tableColumn name="BoxType" id="1"/>
    <tableColumn name="Length (m)" id="2"/>
    <tableColumn name="Width (m)" id="3"/>
    <tableColumn name="Height (m)" id="4"/>
    <tableColumn name="Volume (L)" id="5"/>
  </tableColumns>
  <tableStyleInfo name="General-style" showColumnStripes="0" showFirstColumn="1" showLastColumn="1" showRowStripes="1"/>
</table>
</file>

<file path=xl/tables/table2.xml><?xml version="1.0" encoding="utf-8"?>
<table xmlns="http://schemas.openxmlformats.org/spreadsheetml/2006/main" ref="A13:I17" displayName="Tabela_30" name="Tabela_30" id="2">
  <tableColumns count="9">
    <tableColumn name="BoxType" id="1"/>
    <tableColumn name="Manual Volume (m³)" id="2"/>
    <tableColumn name="Average Estimated Volume (L)" id="3"/>
    <tableColumn name="RMSE (L)" id="4"/>
    <tableColumn name="MAPE" id="5"/>
    <tableColumn name="Standard deviation (L)" id="6"/>
    <tableColumn name="Execution time (s)" id="7"/>
    <tableColumn name="Column 8" id="8"/>
    <tableColumn name="Column 9" id="9"/>
  </tableColumns>
  <tableStyleInfo name="General-style 2" showColumnStripes="0" showFirstColumn="1" showLastColumn="1" showRowStripes="1"/>
</table>
</file>

<file path=xl/tables/table3.xml><?xml version="1.0" encoding="utf-8"?>
<table xmlns="http://schemas.openxmlformats.org/spreadsheetml/2006/main" ref="A25:G30" displayName="Tabela_31" name="Tabela_31" id="3">
  <tableColumns count="7">
    <tableColumn name="BoxType" id="1"/>
    <tableColumn name="Length (m)" id="2"/>
    <tableColumn name="Column 3" id="3"/>
    <tableColumn name="Width (m)" id="4"/>
    <tableColumn name="Column 2" id="5"/>
    <tableColumn name="Height (m)" id="6"/>
    <tableColumn name="Column 3 2" id="7"/>
  </tableColumns>
  <tableStyleInfo name="General-style 3" showColumnStripes="0" showFirstColumn="1" showLastColumn="1" showRowStripes="1"/>
</table>
</file>

<file path=xl/tables/table4.xml><?xml version="1.0" encoding="utf-8"?>
<table xmlns="http://schemas.openxmlformats.org/spreadsheetml/2006/main" ref="A4:F39" displayName="Estimated_volumes_and_dimensions" name="Estimated_volumes_and_dimensions" id="4">
  <tableColumns count="6">
    <tableColumn name="Type of acquisition" id="1"/>
    <tableColumn name="Execution Time (s)" id="2"/>
    <tableColumn name="Length (m)" id="3"/>
    <tableColumn name="Width (m)" id="4"/>
    <tableColumn name="Height (m)" id="5"/>
    <tableColumn name="Volume (L)" id="6"/>
  </tableColumns>
  <tableStyleInfo name="Package 1 Evolution-style" showColumnStripes="0" showFirstColumn="1" showLastColumn="1" showRowStripes="1"/>
</table>
</file>

<file path=xl/tables/table5.xml><?xml version="1.0" encoding="utf-8"?>
<table xmlns="http://schemas.openxmlformats.org/spreadsheetml/2006/main" headerRowCount="0" ref="J21:M21" displayName="Estimated_volumes_and_dimensions_v2" name="Estimated_volumes_and_dimensions_v2" id="5">
  <tableColumns count="4">
    <tableColumn name="Column1" id="1"/>
    <tableColumn name="Column2" id="2"/>
    <tableColumn name="Column3" id="3"/>
    <tableColumn name="Column4" id="4"/>
  </tableColumns>
  <tableStyleInfo name="Package 1 Evolu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J22:M31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Package 1 Evolution-style 3" showColumnStripes="0" showFirstColumn="1" showLastColumn="1" showRowStripes="1"/>
</table>
</file>

<file path=xl/tables/table7.xml><?xml version="1.0" encoding="utf-8"?>
<table xmlns="http://schemas.openxmlformats.org/spreadsheetml/2006/main" headerRowCount="0" ref="P26:T26" displayName="Table_2" name="Table_2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Package 1 Evolution-style 4" showColumnStripes="0" showFirstColumn="1" showLastColumn="1" showRowStripes="1"/>
</table>
</file>

<file path=xl/tables/table8.xml><?xml version="1.0" encoding="utf-8"?>
<table xmlns="http://schemas.openxmlformats.org/spreadsheetml/2006/main" headerRowCount="0" ref="V26:W26" displayName="Table_3" name="Table_3" id="8">
  <tableColumns count="2">
    <tableColumn name="Column1" id="1"/>
    <tableColumn name="Column2" id="2"/>
  </tableColumns>
  <tableStyleInfo name="Package 1 Evolution-style 5" showColumnStripes="0" showFirstColumn="1" showLastColumn="1" showRowStripes="1"/>
</table>
</file>

<file path=xl/tables/table9.xml><?xml version="1.0" encoding="utf-8"?>
<table xmlns="http://schemas.openxmlformats.org/spreadsheetml/2006/main" headerRowCount="0" ref="P33:T38" displayName="Table_4" name="Table_4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Package 1 Evolution-style 6" showColumnStripes="0" showFirstColumn="1" showLastColumn="1" showRowStripes="1"/>
</table>
</file>

<file path=xl/tables/table10.xml><?xml version="1.0" encoding="utf-8"?>
<table xmlns="http://schemas.openxmlformats.org/spreadsheetml/2006/main" headerRowCount="0" ref="V33:W38" displayName="Table_5" name="Table_5" id="10">
  <tableColumns count="2">
    <tableColumn name="Column1" id="1"/>
    <tableColumn name="Column2" id="2"/>
  </tableColumns>
  <tableStyleInfo name="Package 1 Evolution-style 7" showColumnStripes="0" showFirstColumn="1" showLastColumn="1" showRowStripes="1"/>
</table>
</file>

<file path=xl/tables/table11.xml><?xml version="1.0" encoding="utf-8"?>
<table xmlns="http://schemas.openxmlformats.org/spreadsheetml/2006/main" ref="A45:F56" displayName="Analysis_of_the_estimated_volumes" name="Analysis_of_the_estimated_volumes" id="11">
  <tableColumns count="6">
    <tableColumn name="Attempt number" id="1"/>
    <tableColumn name="Calculated volume (L)" id="2"/>
    <tableColumn name="Absolute Error (L)" id="3"/>
    <tableColumn name="Standard Deviation (L)" id="4"/>
    <tableColumn name="Execution time (s)" id="5"/>
    <tableColumn name="Column 1" id="6"/>
  </tableColumns>
  <tableStyleInfo name="Package 1 Evolution-style 8" showColumnStripes="0" showFirstColumn="1" showLastColumn="1" showRowStripes="1"/>
</table>
</file>

<file path=xl/tables/table12.xml><?xml version="1.0" encoding="utf-8"?>
<table xmlns="http://schemas.openxmlformats.org/spreadsheetml/2006/main" ref="G45:L56" displayName="Tabela_5_Totals" name="Tabela_5_Totals" id="12">
  <tableColumns count="6">
    <tableColumn name="Attempt number" id="1"/>
    <tableColumn name="Calculated volume (L)" id="2"/>
    <tableColumn name="Quadratic Error (L)" id="3"/>
    <tableColumn name="Standard Deviation (L)" id="4"/>
    <tableColumn name="Execution time (s)" id="5"/>
    <tableColumn name="MAPE Vol" id="6"/>
  </tableColumns>
  <tableStyleInfo name="Package 1 Evolution-style 9" showColumnStripes="0" showFirstColumn="1" showLastColumn="1" showRowStripes="1"/>
</table>
</file>

<file path=xl/tables/table13.xml><?xml version="1.0" encoding="utf-8"?>
<table xmlns="http://schemas.openxmlformats.org/spreadsheetml/2006/main" ref="A4:F38" displayName="Table_2_Estimated_volumes_and_dimensions" name="Table_2_Estimated_volumes_and_dimensions" id="13">
  <tableColumns count="6">
    <tableColumn name="Type of acquisition" id="1"/>
    <tableColumn name="Execution Time (s)" id="2"/>
    <tableColumn name="Length (m)" id="3"/>
    <tableColumn name="Width (m)" id="4"/>
    <tableColumn name="Height (m)" id="5"/>
    <tableColumn name="Volume (L)" id="6"/>
  </tableColumns>
  <tableStyleInfo name="Package 2 Evolution-style" showColumnStripes="0" showFirstColumn="1" showLastColumn="1" showRowStripes="1"/>
</table>
</file>

<file path=xl/tables/table14.xml><?xml version="1.0" encoding="utf-8"?>
<table xmlns="http://schemas.openxmlformats.org/spreadsheetml/2006/main" headerRowCount="0" ref="J21:M21" displayName="Table_8_Estimated_measurements" name="Table_8_Estimated_measurements" id="14">
  <tableColumns count="4">
    <tableColumn name="Column1" id="1"/>
    <tableColumn name="Column2" id="2"/>
    <tableColumn name="Column3" id="3"/>
    <tableColumn name="Column4" id="4"/>
  </tableColumns>
  <tableStyleInfo name="Package 2 Evolu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J22:M31" displayName="Table_6" name="Table_6" id="15">
  <tableColumns count="4">
    <tableColumn name="Column1" id="1"/>
    <tableColumn name="Column2" id="2"/>
    <tableColumn name="Column3" id="3"/>
    <tableColumn name="Column4" id="4"/>
  </tableColumns>
  <tableStyleInfo name="Package 2 Evolution-style 3" showColumnStripes="0" showFirstColumn="1" showLastColumn="1" showRowStripes="1"/>
</table>
</file>

<file path=xl/tables/table16.xml><?xml version="1.0" encoding="utf-8"?>
<table xmlns="http://schemas.openxmlformats.org/spreadsheetml/2006/main" headerRowCount="0" ref="V26:W43" displayName="Table_7" name="Table_7" id="16">
  <tableColumns count="2">
    <tableColumn name="Column1" id="1"/>
    <tableColumn name="Column2" id="2"/>
  </tableColumns>
  <tableStyleInfo name="Package 2 Evolution-style 4" showColumnStripes="0" showFirstColumn="1" showLastColumn="1" showRowStripes="1"/>
</table>
</file>

<file path=xl/tables/table17.xml><?xml version="1.0" encoding="utf-8"?>
<table xmlns="http://schemas.openxmlformats.org/spreadsheetml/2006/main" ref="A42:F58" displayName="Table_3_Analysis_of_estimated_volumes" name="Table_3_Analysis_of_estimated_volumes" id="17">
  <tableColumns count="6">
    <tableColumn name="Attempt number" id="1"/>
    <tableColumn name="Number of points" id="2"/>
    <tableColumn name="Calculated volume (L)" id="3"/>
    <tableColumn name="Absolute error (L)" id="4"/>
    <tableColumn name="Standard deviation (L)" id="5"/>
    <tableColumn name="Execution time (s)" id="6"/>
  </tableColumns>
  <tableStyleInfo name="Package 2 Evolution-style 5" showColumnStripes="0" showFirstColumn="1" showLastColumn="1" showRowStripes="1"/>
</table>
</file>

<file path=xl/tables/table18.xml><?xml version="1.0" encoding="utf-8"?>
<table xmlns="http://schemas.openxmlformats.org/spreadsheetml/2006/main" ref="J45:N61" displayName="Tabela_7_Totals" name="Tabela_7_Totals" id="18">
  <tableColumns count="5">
    <tableColumn name="Calculated volume (L)" id="1"/>
    <tableColumn name="Square Error (L)" id="2"/>
    <tableColumn name="Standard Deviation (L)" id="3"/>
    <tableColumn name="Execution time (s)" id="4"/>
    <tableColumn name="MAPE Vol" id="5"/>
  </tableColumns>
  <tableStyleInfo name="Package 2 Evolution-style 6" showColumnStripes="0" showFirstColumn="1" showLastColumn="1" showRowStripes="1"/>
</table>
</file>

<file path=xl/tables/table19.xml><?xml version="1.0" encoding="utf-8"?>
<table xmlns="http://schemas.openxmlformats.org/spreadsheetml/2006/main" ref="A4:F87" displayName="Table_4_Estimated_volumes_and_dimensions" name="Table_4_Estimated_volumes_and_dimensions" id="19">
  <tableColumns count="6">
    <tableColumn name="Type of acquisition" id="1"/>
    <tableColumn name="Execution Time (s)" id="2"/>
    <tableColumn name="Length (m)" id="3"/>
    <tableColumn name="Width (m)" id="4"/>
    <tableColumn name="Height (m)" id="5"/>
    <tableColumn name="Volume" id="6"/>
  </tableColumns>
  <tableStyleInfo name="Package 3 Evolution-style" showColumnStripes="0" showFirstColumn="1" showLastColumn="1" showRowStripes="1"/>
</table>
</file>

<file path=xl/tables/table20.xml><?xml version="1.0" encoding="utf-8"?>
<table xmlns="http://schemas.openxmlformats.org/spreadsheetml/2006/main" headerRowCount="0" ref="J21:M21" displayName="Table_10_Estimated_measurements" name="Table_10_Estimated_measurements" id="20">
  <tableColumns count="4">
    <tableColumn name="Column1" id="1"/>
    <tableColumn name="Column2" id="2"/>
    <tableColumn name="Column3" id="3"/>
    <tableColumn name="Column4" id="4"/>
  </tableColumns>
  <tableStyleInfo name="Package 3 Evolu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J22:M31" displayName="Table_8" name="Table_8" id="21">
  <tableColumns count="4">
    <tableColumn name="Column1" id="1"/>
    <tableColumn name="Column2" id="2"/>
    <tableColumn name="Column3" id="3"/>
    <tableColumn name="Column4" id="4"/>
  </tableColumns>
  <tableStyleInfo name="Package 3 Evolution-style 3" showColumnStripes="0" showFirstColumn="1" showLastColumn="1" showRowStripes="1"/>
</table>
</file>

<file path=xl/tables/table22.xml><?xml version="1.0" encoding="utf-8"?>
<table xmlns="http://schemas.openxmlformats.org/spreadsheetml/2006/main" headerRowCount="0" ref="V26:W40" displayName="Table_9" name="Table_9" id="22">
  <tableColumns count="2">
    <tableColumn name="Column1" id="1"/>
    <tableColumn name="Column2" id="2"/>
  </tableColumns>
  <tableStyleInfo name="Package 3 Evolution-style 4" showColumnStripes="0" showFirstColumn="1" showLastColumn="1" showRowStripes="1"/>
</table>
</file>

<file path=xl/tables/table23.xml><?xml version="1.0" encoding="utf-8"?>
<table xmlns="http://schemas.openxmlformats.org/spreadsheetml/2006/main" ref="J45:N56" displayName="Tabela_9_Totals" name="Tabela_9_Totals" id="23">
  <tableColumns count="5">
    <tableColumn name="Calculated volume (L)" id="1"/>
    <tableColumn name="Absolute Error (L)" id="2"/>
    <tableColumn name="Standard Deviation (L)" id="3"/>
    <tableColumn name="Execution time (s)" id="4"/>
    <tableColumn name="MAPE Vol" id="5"/>
  </tableColumns>
  <tableStyleInfo name="Package 3 Evolution-style 5" showColumnStripes="0" showFirstColumn="1" showLastColumn="1" showRowStripes="1"/>
</table>
</file>

<file path=xl/tables/table24.xml><?xml version="1.0" encoding="utf-8"?>
<table xmlns="http://schemas.openxmlformats.org/spreadsheetml/2006/main" totalsRowCount="1" ref="A92:F105" displayName="Table_23_Analysis_of_estimated_volumes" name="Table_23_Analysis_of_estimated_volumes" id="24">
  <tableColumns count="6">
    <tableColumn totalsRowLabel="average" name="Attempt number" id="1"/>
    <tableColumn name="Number of points" id="2"/>
    <tableColumn totalsRowFunction="custom" name="Calculated volume (L)" id="3"/>
    <tableColumn totalsRowFunction="custom" name="Absolute error (L)" id="4"/>
    <tableColumn totalsRowFunction="custom" name="Standard deviation (L)" id="5"/>
    <tableColumn totalsRowFunction="custom" name="Execution time (s)" id="6"/>
  </tableColumns>
  <tableStyleInfo name="Package 3 Evolution-style 6" showColumnStripes="0" showFirstColumn="1" showLastColumn="1" showRowStripes="1"/>
</table>
</file>

<file path=xl/tables/table25.xml><?xml version="1.0" encoding="utf-8"?>
<table xmlns="http://schemas.openxmlformats.org/spreadsheetml/2006/main" ref="A4:F86" displayName="Table_25_Estimated_volumes_and_dimensions" name="Table_25_Estimated_volumes_and_dimensions" id="25">
  <tableColumns count="6">
    <tableColumn name="Type of acquisition" id="1"/>
    <tableColumn name="Execution Time (s)" id="2"/>
    <tableColumn name="Length (m)" id="3"/>
    <tableColumn name="Width (m)" id="4"/>
    <tableColumn name="Height (m)" id="5"/>
    <tableColumn name="Volume (L)" id="6"/>
  </tableColumns>
  <tableStyleInfo name="Package 4 Evolution-style" showColumnStripes="0" showFirstColumn="1" showLastColumn="1" showRowStripes="1"/>
</table>
</file>

<file path=xl/tables/table26.xml><?xml version="1.0" encoding="utf-8"?>
<table xmlns="http://schemas.openxmlformats.org/spreadsheetml/2006/main" headerRowCount="0" ref="J19:M19" displayName="Table_11_Estimated_measurements" name="Table_11_Estimated_measurements" id="26">
  <tableColumns count="4">
    <tableColumn name="Column1" id="1"/>
    <tableColumn name="Column2" id="2"/>
    <tableColumn name="Column3" id="3"/>
    <tableColumn name="Column4" id="4"/>
  </tableColumns>
  <tableStyleInfo name="Package 4 Evolu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J20:M27" displayName="Table_10" name="Table_10" id="27">
  <tableColumns count="4">
    <tableColumn name="Column1" id="1"/>
    <tableColumn name="Column2" id="2"/>
    <tableColumn name="Column3" id="3"/>
    <tableColumn name="Column4" id="4"/>
  </tableColumns>
  <tableStyleInfo name="Package 4 Evolution-style 3" showColumnStripes="0" showFirstColumn="1" showLastColumn="1" showRowStripes="1"/>
</table>
</file>

<file path=xl/tables/table28.xml><?xml version="1.0" encoding="utf-8"?>
<table xmlns="http://schemas.openxmlformats.org/spreadsheetml/2006/main" headerRowCount="0" ref="V24:W36" displayName="Table_11" name="Table_11" id="28">
  <tableColumns count="2">
    <tableColumn name="Column1" id="1"/>
    <tableColumn name="Column2" id="2"/>
  </tableColumns>
  <tableStyleInfo name="Package 4 Evolution-style 4" showColumnStripes="0" showFirstColumn="1" showLastColumn="1" showRowStripes="1"/>
</table>
</file>

<file path=xl/tables/table29.xml><?xml version="1.0" encoding="utf-8"?>
<table xmlns="http://schemas.openxmlformats.org/spreadsheetml/2006/main" ref="J41:N50" displayName="Tabela_12_Totals" name="Tabela_12_Totals" id="29">
  <tableColumns count="5">
    <tableColumn name="Calculated volume (L)" id="1"/>
    <tableColumn name="RMSE (L)" id="2"/>
    <tableColumn name="Standard Deviation (L)" id="3"/>
    <tableColumn name="Execution time (s)" id="4"/>
    <tableColumn name="MAPE Vol" id="5"/>
  </tableColumns>
  <tableStyleInfo name="Package 4 Evolution-style 5" showColumnStripes="0" showFirstColumn="1" showLastColumn="1" showRowStripes="1"/>
</table>
</file>

<file path=xl/tables/table30.xml><?xml version="1.0" encoding="utf-8"?>
<table xmlns="http://schemas.openxmlformats.org/spreadsheetml/2006/main" ref="A94:F105" displayName="Table_26_Analysis_of_estimated_volumes" name="Table_26_Analysis_of_estimated_volumes" id="30">
  <tableColumns count="6">
    <tableColumn name="Attempt Number" id="1"/>
    <tableColumn name="Number of points" id="2"/>
    <tableColumn name="Calculated volume (m³)" id="3"/>
    <tableColumn name="Absolute error (m)" id="4"/>
    <tableColumn name="Standard Deviation (m)" id="5"/>
    <tableColumn name="Execution time (s)" id="6"/>
  </tableColumns>
  <tableStyleInfo name="Package 4 Evolution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9" Type="http://schemas.openxmlformats.org/officeDocument/2006/relationships/table" Target="../tables/table20.xml"/><Relationship Id="rId8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Relationship Id="rId13" Type="http://schemas.openxmlformats.org/officeDocument/2006/relationships/table" Target="../tables/table30.xml"/><Relationship Id="rId12" Type="http://schemas.openxmlformats.org/officeDocument/2006/relationships/table" Target="../tables/table29.xml"/><Relationship Id="rId9" Type="http://schemas.openxmlformats.org/officeDocument/2006/relationships/table" Target="../tables/table26.xml"/><Relationship Id="rId8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0.5"/>
    <col customWidth="1" min="3" max="3" width="31.0"/>
    <col customWidth="1" min="4" max="4" width="20.5"/>
    <col customWidth="1" min="5" max="5" width="21.75"/>
    <col customWidth="1" min="6" max="6" width="22.0"/>
    <col customWidth="1" min="7" max="8" width="18.0"/>
    <col customWidth="1" min="9" max="9" width="1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22.5" customHeight="1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</row>
    <row r="5" ht="22.5" customHeight="1">
      <c r="A5" s="7" t="s">
        <v>6</v>
      </c>
      <c r="B5" s="8">
        <v>0.2</v>
      </c>
      <c r="C5" s="8">
        <v>0.1</v>
      </c>
      <c r="D5" s="8">
        <v>0.05</v>
      </c>
      <c r="E5" s="8">
        <f t="shared" ref="E5:E8" si="1">(B5*C5*D5)*1000</f>
        <v>1</v>
      </c>
    </row>
    <row r="6" ht="22.5" customHeight="1">
      <c r="A6" s="7" t="s">
        <v>7</v>
      </c>
      <c r="B6" s="8">
        <v>0.25</v>
      </c>
      <c r="C6" s="8">
        <v>0.15</v>
      </c>
      <c r="D6" s="8">
        <v>0.1</v>
      </c>
      <c r="E6" s="8">
        <f t="shared" si="1"/>
        <v>3.75</v>
      </c>
    </row>
    <row r="7" ht="22.5" customHeight="1">
      <c r="A7" s="7" t="s">
        <v>8</v>
      </c>
      <c r="B7" s="8">
        <v>0.3</v>
      </c>
      <c r="C7" s="8">
        <v>0.2</v>
      </c>
      <c r="D7" s="8">
        <v>0.1</v>
      </c>
      <c r="E7" s="8">
        <f t="shared" si="1"/>
        <v>6</v>
      </c>
    </row>
    <row r="8" ht="22.5" customHeight="1">
      <c r="A8" s="7" t="s">
        <v>9</v>
      </c>
      <c r="B8" s="8">
        <v>0.2</v>
      </c>
      <c r="C8" s="8">
        <v>0.2</v>
      </c>
      <c r="D8" s="8">
        <v>0.2</v>
      </c>
      <c r="E8" s="8">
        <f t="shared" si="1"/>
        <v>8</v>
      </c>
    </row>
    <row r="11">
      <c r="A11" s="9" t="s">
        <v>10</v>
      </c>
    </row>
    <row r="13" ht="22.5" customHeight="1">
      <c r="A13" s="4" t="s">
        <v>1</v>
      </c>
      <c r="B13" s="5" t="s">
        <v>11</v>
      </c>
      <c r="C13" s="6" t="s">
        <v>12</v>
      </c>
      <c r="D13" s="6" t="s">
        <v>13</v>
      </c>
      <c r="E13" s="5" t="s">
        <v>14</v>
      </c>
      <c r="F13" s="6" t="s">
        <v>15</v>
      </c>
      <c r="G13" s="5" t="s">
        <v>16</v>
      </c>
      <c r="H13" s="10" t="s">
        <v>17</v>
      </c>
      <c r="I13" s="10" t="s">
        <v>18</v>
      </c>
    </row>
    <row r="14" ht="22.5" customHeight="1">
      <c r="A14" s="7" t="s">
        <v>6</v>
      </c>
      <c r="B14" s="8">
        <f t="shared" ref="B14:B17" si="2">E5</f>
        <v>1</v>
      </c>
      <c r="C14" s="11">
        <f>'Package 1 Evolution'!H56/10</f>
        <v>1.2247402</v>
      </c>
      <c r="D14" s="11">
        <f>SQRT('Package 1 Evolution'!I56/10)</f>
        <v>0.2484521126</v>
      </c>
      <c r="E14" s="12">
        <f>'Package 1 Evolution'!L56/10</f>
        <v>0.2247402</v>
      </c>
      <c r="F14" s="11">
        <f>SQRT('Package 1 Evolution'!J56/10)</f>
        <v>0.1059258928</v>
      </c>
      <c r="G14" s="11">
        <f>'Package 1 Evolution'!K56/10</f>
        <v>0.124</v>
      </c>
      <c r="H14" s="13"/>
      <c r="I14" s="14"/>
    </row>
    <row r="15" ht="22.5" customHeight="1">
      <c r="A15" s="7" t="s">
        <v>7</v>
      </c>
      <c r="B15" s="8">
        <f t="shared" si="2"/>
        <v>3.75</v>
      </c>
      <c r="C15" s="11">
        <f>'Package 2 Evolution'!J61/15</f>
        <v>3.6453256</v>
      </c>
      <c r="D15" s="11">
        <f>SQRT('Package 2 Evolution'!K61/15)</f>
        <v>0.1892248364</v>
      </c>
      <c r="E15" s="12">
        <f>'Package 2 Evolution'!N61/15</f>
        <v>0.04272330667</v>
      </c>
      <c r="F15" s="11">
        <f>SQRT('Package 2 Evolution'!L61/15)</f>
        <v>0.1576366351</v>
      </c>
      <c r="G15" s="11">
        <f>'Package 2 Evolution'!M61/15</f>
        <v>0.1813333333</v>
      </c>
      <c r="H15" s="13"/>
      <c r="I15" s="14"/>
    </row>
    <row r="16" ht="22.5" customHeight="1">
      <c r="A16" s="7" t="s">
        <v>8</v>
      </c>
      <c r="B16" s="8">
        <f t="shared" si="2"/>
        <v>6</v>
      </c>
      <c r="C16" s="11">
        <f>'Package 3 Evolution'!J58/12</f>
        <v>5.8305635</v>
      </c>
      <c r="D16" s="11">
        <f>SQRT('Package 3 Evolution'!K58/12)</f>
        <v>0.424429401</v>
      </c>
      <c r="E16" s="12">
        <f>'Package 3 Evolution'!N58/12</f>
        <v>0.05203402778</v>
      </c>
      <c r="F16" s="11">
        <f>SQRT('Package 3 Evolution'!L58/12)</f>
        <v>0.3891421192</v>
      </c>
      <c r="G16" s="11">
        <f>'Package 3 Evolution'!M58/12</f>
        <v>0.2566666667</v>
      </c>
      <c r="H16" s="13"/>
      <c r="I16" s="14"/>
    </row>
    <row r="17" ht="22.5" customHeight="1">
      <c r="A17" s="7" t="s">
        <v>9</v>
      </c>
      <c r="B17" s="8">
        <f t="shared" si="2"/>
        <v>8</v>
      </c>
      <c r="C17" s="11">
        <f>'Package 4 Evolution'!J52/10</f>
        <v>8.4797731</v>
      </c>
      <c r="D17" s="11">
        <f>SQRT('Package 4 Evolution'!K52/10)</f>
        <v>1.016374283</v>
      </c>
      <c r="E17" s="12">
        <f>'Package 4 Evolution'!N52/10</f>
        <v>0.1016317625</v>
      </c>
      <c r="F17" s="11">
        <f>SQRT('Package 4 Evolution'!L52/10)</f>
        <v>0.8960102991</v>
      </c>
      <c r="G17" s="11">
        <f>'Package 4 Evolution'!M52/10</f>
        <v>0.19</v>
      </c>
      <c r="H17" s="13"/>
      <c r="I17" s="14"/>
    </row>
    <row r="19">
      <c r="B19" s="9"/>
      <c r="C19" s="9"/>
      <c r="D19" s="9"/>
      <c r="E19" s="9" t="s">
        <v>19</v>
      </c>
      <c r="H19" s="15">
        <f>SUM('Package 1 Evolution'!L56+'Package 2 Evolution'!N61+'Package 3 Evolution'!N58+'Package 4 Evolution'!N52)/47</f>
        <v>0.09636122465</v>
      </c>
    </row>
    <row r="20">
      <c r="B20" s="9"/>
      <c r="C20" s="9"/>
      <c r="D20" s="9"/>
      <c r="E20" s="9" t="s">
        <v>20</v>
      </c>
      <c r="H20" s="16">
        <f>SQRT(('Package 1 Evolution'!I56+'Package 2 Evolution'!K61+'Package 3 Evolution'!K58+'Package 4 Evolution'!K52)/47)</f>
        <v>0.5388369219</v>
      </c>
    </row>
    <row r="21">
      <c r="A21" s="9"/>
      <c r="B21" s="9"/>
      <c r="C21" s="9"/>
      <c r="D21" s="9"/>
      <c r="E21" s="9" t="s">
        <v>21</v>
      </c>
      <c r="H21" s="16">
        <f>SQRT(('Package 1 Evolution'!J56+'Package 2 Evolution'!L61+'Package 3 Evolution'!L58+'Package 4 Evolution'!L52)/47)</f>
        <v>0.4688252908</v>
      </c>
    </row>
    <row r="22">
      <c r="A22" s="9"/>
      <c r="B22" s="9"/>
      <c r="C22" s="9"/>
      <c r="D22" s="9"/>
    </row>
    <row r="23">
      <c r="B23" s="9"/>
      <c r="C23" s="9"/>
      <c r="D23" s="9"/>
      <c r="E23" s="9" t="s">
        <v>22</v>
      </c>
      <c r="H23" s="16">
        <f>('Package 1 Evolution'!K56+'Package 2 Evolution'!M61+'Package 3 Evolution'!M58+'Package 4 Evolution'!M52)/47</f>
        <v>0.190212766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22.5" customHeight="1">
      <c r="A25" s="4" t="s">
        <v>1</v>
      </c>
      <c r="B25" s="17" t="s">
        <v>2</v>
      </c>
      <c r="C25" s="18" t="s">
        <v>23</v>
      </c>
      <c r="D25" s="17" t="s">
        <v>3</v>
      </c>
      <c r="E25" s="18" t="s">
        <v>24</v>
      </c>
      <c r="F25" s="5" t="s">
        <v>4</v>
      </c>
      <c r="G25" s="19" t="s">
        <v>25</v>
      </c>
      <c r="H25" s="1"/>
      <c r="I25" s="1"/>
      <c r="J25" s="1"/>
      <c r="K25" s="1"/>
      <c r="L25" s="1"/>
      <c r="M25" s="1"/>
    </row>
    <row r="26" ht="22.5" customHeight="1">
      <c r="B26" s="20" t="s">
        <v>26</v>
      </c>
      <c r="C26" s="21" t="s">
        <v>27</v>
      </c>
      <c r="D26" s="20" t="s">
        <v>26</v>
      </c>
      <c r="E26" s="21" t="s">
        <v>27</v>
      </c>
      <c r="F26" s="7" t="s">
        <v>26</v>
      </c>
      <c r="G26" s="7" t="s">
        <v>27</v>
      </c>
      <c r="H26" s="2"/>
      <c r="I26" s="2"/>
      <c r="J26" s="2"/>
      <c r="K26" s="2"/>
      <c r="L26" s="22"/>
      <c r="M26" s="22"/>
      <c r="N26" s="3"/>
    </row>
    <row r="27" ht="22.5" customHeight="1">
      <c r="A27" s="7" t="s">
        <v>6</v>
      </c>
      <c r="B27" s="23">
        <f>SQRT('Package 1 Evolution'!P37/10)</f>
        <v>0.01063954886</v>
      </c>
      <c r="C27" s="24">
        <f>SQRT('Package 1 Evolution'!Q37/10)</f>
        <v>0.0105470375</v>
      </c>
      <c r="D27" s="23">
        <f>SQRT('Package 1 Evolution'!S37/10)</f>
        <v>0.01303456942</v>
      </c>
      <c r="E27" s="24">
        <f>SQRT('Package 1 Evolution'!T37/10)</f>
        <v>0.00293428015</v>
      </c>
      <c r="F27" s="11">
        <f>SQRT('Package 1 Evolution'!V37/10)</f>
        <v>0.006745368782</v>
      </c>
      <c r="G27" s="11">
        <f>SQRT('Package 1 Evolution'!W37/10)</f>
        <v>0.005356304696</v>
      </c>
    </row>
    <row r="28" ht="22.5" customHeight="1">
      <c r="A28" s="7" t="s">
        <v>7</v>
      </c>
      <c r="B28" s="23">
        <f>SQRT('Package 2 Evolution'!P42/15)</f>
        <v>0.005727128425</v>
      </c>
      <c r="C28" s="24">
        <f>SQRT('Package 2 Evolution'!Q42/15)</f>
        <v>0.005702241275</v>
      </c>
      <c r="D28" s="23">
        <f>SQRT('Package 2 Evolution'!S42/15)</f>
        <v>0.009889388252</v>
      </c>
      <c r="E28" s="24">
        <f>SQRT('Package 2 Evolution'!T42/15)</f>
        <v>0.004639923371</v>
      </c>
      <c r="F28" s="11">
        <f>SQRT('Package 2 Evolution'!V42/15)</f>
        <v>0.008298594258</v>
      </c>
      <c r="G28" s="11">
        <f>SQRT('Package 2 Evolution'!W42/15)</f>
        <v>0.002434930982</v>
      </c>
    </row>
    <row r="29" ht="22.5" customHeight="1">
      <c r="A29" s="7" t="s">
        <v>8</v>
      </c>
      <c r="B29" s="23">
        <f>SQRT('Package 3 Evolution'!P39/12)</f>
        <v>0.01</v>
      </c>
      <c r="C29" s="24">
        <f>SQRT('Package 3 Evolution'!Q39/12)</f>
        <v>0.009830508069</v>
      </c>
      <c r="D29" s="23">
        <f>SQRT('Package 3 Evolution'!S39/12)</f>
        <v>0.013530829</v>
      </c>
      <c r="E29" s="24">
        <f>SQRT('Package 3 Evolution'!T39/12)</f>
        <v>0.01109147571</v>
      </c>
      <c r="F29" s="11">
        <f>SQRT('Package 3 Evolution'!V39/12)</f>
        <v>0.007571877794</v>
      </c>
      <c r="G29" s="11">
        <f>SQRT('Package 3 Evolution'!W39/12)</f>
        <v>0.002886751346</v>
      </c>
    </row>
    <row r="30" ht="22.5" customHeight="1">
      <c r="A30" s="7" t="s">
        <v>9</v>
      </c>
      <c r="B30" s="25">
        <f>SQRT('Package 4 Evolution'!P35/10)</f>
        <v>0.02008979841</v>
      </c>
      <c r="C30" s="26">
        <f>SQRT('Package 4 Evolution'!Q35/10)</f>
        <v>0.01146771586</v>
      </c>
      <c r="D30" s="25">
        <f>SQRT('Package 4 Evolution'!S35/10)</f>
        <v>0.01906305327</v>
      </c>
      <c r="E30" s="26">
        <f>SQRT('Package 4 Evolution'!T35/10)</f>
        <v>0.01271849048</v>
      </c>
      <c r="F30" s="11">
        <f>SQRT('Package 4 Evolution'!V35/10)</f>
        <v>0.01795550055</v>
      </c>
      <c r="G30" s="11">
        <f>SQRT('Package 4 Evolution'!W35/10)</f>
        <v>0.006337191807</v>
      </c>
    </row>
    <row r="32">
      <c r="E32" s="9" t="s">
        <v>28</v>
      </c>
      <c r="G32" s="16">
        <f>SQRT(('Package 1 Evolution'!P37+'Package 1 Evolution'!S37+'Package 1 Evolution'!V37+'Package 2 Evolution'!P42+'Package 2 Evolution'!S42+'Package 2 Evolution'!V42+'Package 3 Evolution'!P39+'Package 3 Evolution'!S39+'Package 3 Evolution'!V39+'Package 4 Evolution'!P35+'Package 4 Evolution'!S35+'Package 4 Evolution'!V35)/(47*3))</f>
        <v>0.01227839017</v>
      </c>
      <c r="H32" s="16"/>
    </row>
    <row r="33">
      <c r="E33" s="9" t="s">
        <v>29</v>
      </c>
      <c r="G33" s="16">
        <f>SQRT(('Package 1 Evolution'!Q37+'Package 1 Evolution'!T37+'Package 1 Evolution'!W37+'Package 2 Evolution'!Q42+'Package 2 Evolution'!T42+'Package 2 Evolution'!W42+'Package 3 Evolution'!Q39+'Package 3 Evolution'!T39+'Package 3 Evolution'!W39+'Package 4 Evolution'!Q35+'Package 4 Evolution'!T35+'Package 4 Evolution'!W35)/(47*3))</f>
        <v>0.007743769738</v>
      </c>
      <c r="H33" s="16"/>
    </row>
    <row r="43">
      <c r="G43" s="22"/>
      <c r="H43" s="22"/>
      <c r="I43" s="22"/>
      <c r="J43" s="22"/>
      <c r="L43" s="22"/>
      <c r="O43" s="22"/>
    </row>
    <row r="44">
      <c r="F44" s="22"/>
      <c r="G44" s="2"/>
      <c r="H44" s="2"/>
      <c r="I44" s="2"/>
      <c r="J44" s="2"/>
      <c r="O44" s="2"/>
    </row>
    <row r="45">
      <c r="B45" s="1"/>
      <c r="C45" s="1"/>
      <c r="D45" s="1"/>
      <c r="E45" s="1"/>
      <c r="F45" s="2"/>
    </row>
    <row r="46">
      <c r="N46" s="27"/>
    </row>
    <row r="48">
      <c r="G48" s="22"/>
      <c r="H48" s="22"/>
      <c r="I48" s="22"/>
      <c r="K48" s="22"/>
      <c r="L48" s="22"/>
      <c r="M48" s="22"/>
      <c r="N48" s="22"/>
      <c r="O48" s="22"/>
    </row>
    <row r="49">
      <c r="F49" s="22"/>
      <c r="G49" s="2"/>
      <c r="H49" s="2"/>
      <c r="I49" s="2"/>
      <c r="K49" s="2"/>
      <c r="L49" s="28"/>
      <c r="M49" s="2"/>
      <c r="N49" s="2"/>
      <c r="O49" s="2"/>
    </row>
    <row r="50">
      <c r="B50" s="1"/>
      <c r="C50" s="1"/>
      <c r="D50" s="1"/>
      <c r="E50" s="1"/>
      <c r="F50" s="2"/>
    </row>
    <row r="52">
      <c r="G52" s="29"/>
    </row>
    <row r="53">
      <c r="B53" s="29"/>
      <c r="C53" s="29"/>
      <c r="D53" s="29"/>
      <c r="E53" s="29"/>
      <c r="G53" s="15"/>
      <c r="H53" s="30"/>
      <c r="I53" s="30"/>
      <c r="J53" s="3"/>
      <c r="K53" s="31"/>
    </row>
    <row r="54">
      <c r="B54" s="32"/>
      <c r="C54" s="32"/>
      <c r="D54" s="32"/>
      <c r="E54" s="32"/>
      <c r="F54" s="33"/>
      <c r="G54" s="15"/>
      <c r="H54" s="30"/>
      <c r="I54" s="30"/>
      <c r="J54" s="3"/>
      <c r="K54" s="31"/>
    </row>
    <row r="55">
      <c r="B55" s="32"/>
      <c r="C55" s="32"/>
      <c r="D55" s="32"/>
      <c r="E55" s="32"/>
      <c r="F55" s="33"/>
      <c r="G55" s="15"/>
      <c r="H55" s="30"/>
      <c r="I55" s="30"/>
      <c r="J55" s="3"/>
      <c r="K55" s="31"/>
    </row>
    <row r="56">
      <c r="B56" s="34"/>
      <c r="C56" s="34"/>
      <c r="D56" s="34"/>
      <c r="E56" s="34"/>
      <c r="F56" s="30"/>
      <c r="G56" s="15"/>
      <c r="H56" s="30"/>
      <c r="I56" s="30"/>
      <c r="J56" s="3"/>
      <c r="K56" s="31"/>
    </row>
    <row r="57">
      <c r="B57" s="35"/>
      <c r="C57" s="35"/>
      <c r="D57" s="35"/>
      <c r="E57" s="35"/>
      <c r="F57" s="33"/>
      <c r="G57" s="15"/>
      <c r="H57" s="30"/>
      <c r="I57" s="30"/>
      <c r="J57" s="3"/>
      <c r="K57" s="31"/>
    </row>
    <row r="58">
      <c r="B58" s="35"/>
      <c r="C58" s="35"/>
      <c r="D58" s="35"/>
      <c r="E58" s="35"/>
      <c r="F58" s="33"/>
      <c r="G58" s="15"/>
      <c r="H58" s="30"/>
      <c r="I58" s="30"/>
      <c r="J58" s="3"/>
      <c r="K58" s="31"/>
    </row>
    <row r="59">
      <c r="B59" s="35"/>
      <c r="C59" s="35"/>
      <c r="D59" s="35"/>
      <c r="E59" s="35"/>
      <c r="F59" s="33"/>
      <c r="G59" s="15"/>
      <c r="H59" s="30"/>
      <c r="I59" s="30"/>
      <c r="J59" s="3"/>
      <c r="K59" s="31"/>
    </row>
    <row r="60">
      <c r="B60" s="34"/>
      <c r="C60" s="34"/>
      <c r="D60" s="34"/>
      <c r="E60" s="34"/>
      <c r="F60" s="33"/>
      <c r="G60" s="15"/>
      <c r="H60" s="30"/>
      <c r="I60" s="30"/>
      <c r="J60" s="3"/>
      <c r="K60" s="31"/>
    </row>
    <row r="61">
      <c r="B61" s="35"/>
      <c r="C61" s="35"/>
      <c r="D61" s="35"/>
      <c r="E61" s="35"/>
      <c r="F61" s="33"/>
      <c r="G61" s="15"/>
      <c r="H61" s="30"/>
      <c r="I61" s="30"/>
      <c r="J61" s="3"/>
      <c r="K61" s="31"/>
    </row>
    <row r="62">
      <c r="B62" s="35"/>
      <c r="C62" s="35"/>
      <c r="D62" s="35"/>
      <c r="E62" s="35"/>
      <c r="F62" s="33"/>
    </row>
  </sheetData>
  <dataValidations>
    <dataValidation type="custom" allowBlank="1" showDropDown="1" sqref="E5:E8 C14:G17 I14:I17 B26:G30">
      <formula1>AND(ISNUMBER(B5),(NOT(OR(NOT(ISERROR(DATEVALUE(B5))), AND(ISNUMBER(B5), LEFT(CELL("format", B5))="D")))))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2.5"/>
    <col customWidth="1" min="3" max="3" width="25.63"/>
    <col customWidth="1" min="4" max="4" width="20.38"/>
    <col customWidth="1" min="5" max="5" width="20.63"/>
    <col customWidth="1" min="6" max="6" width="16.63"/>
    <col customWidth="1" min="7" max="7" width="23.88"/>
    <col customWidth="1" min="8" max="8" width="21.5"/>
    <col customWidth="1" min="9" max="9" width="18.75"/>
    <col customWidth="1" min="10" max="10" width="21.0"/>
    <col customWidth="1" min="11" max="11" width="18.75"/>
    <col customWidth="1" min="13" max="13" width="21.38"/>
    <col customWidth="1" min="17" max="17" width="19.63"/>
    <col customWidth="1" min="20" max="20" width="20.38"/>
    <col customWidth="1" min="23" max="23" width="21.63"/>
  </cols>
  <sheetData>
    <row r="1">
      <c r="A1" s="36"/>
      <c r="B1" s="36"/>
      <c r="C1" s="36"/>
      <c r="D1" s="36"/>
      <c r="E1" s="36"/>
      <c r="F1" s="36"/>
    </row>
    <row r="2">
      <c r="A2" s="37" t="s">
        <v>30</v>
      </c>
      <c r="B2" s="38"/>
      <c r="C2" s="38"/>
      <c r="D2" s="38"/>
      <c r="E2" s="39"/>
      <c r="F2" s="40"/>
    </row>
    <row r="3">
      <c r="A3" s="41"/>
      <c r="B3" s="36"/>
      <c r="C3" s="36"/>
      <c r="D3" s="36"/>
      <c r="E3" s="36"/>
      <c r="F3" s="42"/>
    </row>
    <row r="4" ht="22.5" customHeight="1">
      <c r="A4" s="43" t="s">
        <v>31</v>
      </c>
      <c r="B4" s="44" t="s">
        <v>32</v>
      </c>
      <c r="C4" s="44" t="s">
        <v>2</v>
      </c>
      <c r="D4" s="44" t="s">
        <v>3</v>
      </c>
      <c r="E4" s="44" t="s">
        <v>4</v>
      </c>
      <c r="F4" s="45" t="s">
        <v>5</v>
      </c>
    </row>
    <row r="5" ht="22.5" customHeight="1">
      <c r="A5" s="46" t="s">
        <v>33</v>
      </c>
      <c r="B5" s="47">
        <v>0.09</v>
      </c>
      <c r="C5" s="47">
        <v>0.202</v>
      </c>
      <c r="D5" s="48">
        <v>0.12</v>
      </c>
      <c r="E5" s="48">
        <v>0.051</v>
      </c>
      <c r="F5" s="49">
        <v>1.238</v>
      </c>
    </row>
    <row r="6" ht="22.5" customHeight="1">
      <c r="A6" s="46" t="s">
        <v>33</v>
      </c>
      <c r="B6" s="50">
        <v>0.1</v>
      </c>
      <c r="C6" s="47">
        <v>0.212</v>
      </c>
      <c r="D6" s="48">
        <v>0.116</v>
      </c>
      <c r="E6" s="48">
        <v>0.05</v>
      </c>
      <c r="F6" s="49">
        <v>1.225</v>
      </c>
    </row>
    <row r="7" ht="22.5" customHeight="1">
      <c r="A7" s="46" t="s">
        <v>33</v>
      </c>
      <c r="B7" s="50">
        <v>0.09</v>
      </c>
      <c r="C7" s="47">
        <v>0.203</v>
      </c>
      <c r="D7" s="48">
        <v>0.11</v>
      </c>
      <c r="E7" s="48">
        <v>0.067</v>
      </c>
      <c r="F7" s="49">
        <v>1.503</v>
      </c>
    </row>
    <row r="8" ht="22.5" customHeight="1">
      <c r="A8" s="46" t="s">
        <v>33</v>
      </c>
      <c r="B8" s="47">
        <v>0.29</v>
      </c>
      <c r="C8" s="47">
        <v>0.205</v>
      </c>
      <c r="D8" s="48">
        <v>0.108</v>
      </c>
      <c r="E8" s="48">
        <v>0.051</v>
      </c>
      <c r="F8" s="49">
        <v>1.14</v>
      </c>
    </row>
    <row r="9" ht="22.5" customHeight="1">
      <c r="A9" s="46" t="s">
        <v>33</v>
      </c>
      <c r="B9" s="50">
        <v>0.1</v>
      </c>
      <c r="C9" s="47">
        <v>0.235</v>
      </c>
      <c r="D9" s="48">
        <v>0.113</v>
      </c>
      <c r="E9" s="48">
        <v>0.05</v>
      </c>
      <c r="F9" s="49">
        <v>1.331</v>
      </c>
    </row>
    <row r="10" ht="22.5" customHeight="1">
      <c r="A10" s="51" t="s">
        <v>34</v>
      </c>
      <c r="B10" s="50">
        <v>0.14</v>
      </c>
      <c r="C10" s="50">
        <v>0.202</v>
      </c>
      <c r="D10" s="52">
        <v>0.111</v>
      </c>
      <c r="E10" s="52">
        <v>0.056</v>
      </c>
      <c r="F10" s="53">
        <v>1.253</v>
      </c>
    </row>
    <row r="11" ht="22.5" customHeight="1">
      <c r="A11" s="51" t="s">
        <v>34</v>
      </c>
      <c r="B11" s="50">
        <v>0.11</v>
      </c>
      <c r="C11" s="47">
        <v>0.21</v>
      </c>
      <c r="D11" s="48">
        <v>0.11</v>
      </c>
      <c r="E11" s="48">
        <v>0.056</v>
      </c>
      <c r="F11" s="49">
        <v>1.296</v>
      </c>
    </row>
    <row r="12" ht="22.5" customHeight="1">
      <c r="A12" s="51" t="s">
        <v>34</v>
      </c>
      <c r="B12" s="50">
        <v>0.12</v>
      </c>
      <c r="C12" s="47">
        <v>0.199</v>
      </c>
      <c r="D12" s="48">
        <v>0.114</v>
      </c>
      <c r="E12" s="48">
        <v>0.056</v>
      </c>
      <c r="F12" s="49">
        <v>1.27</v>
      </c>
    </row>
    <row r="13" ht="22.5" customHeight="1">
      <c r="A13" s="51" t="s">
        <v>34</v>
      </c>
      <c r="B13" s="50">
        <v>0.12</v>
      </c>
      <c r="C13" s="47">
        <v>0.199</v>
      </c>
      <c r="D13" s="48">
        <v>0.112</v>
      </c>
      <c r="E13" s="48">
        <v>0.055</v>
      </c>
      <c r="F13" s="49">
        <v>1.226</v>
      </c>
    </row>
    <row r="14" ht="22.5" customHeight="1">
      <c r="A14" s="51" t="s">
        <v>34</v>
      </c>
      <c r="B14" s="50">
        <v>0.08</v>
      </c>
      <c r="C14" s="47">
        <v>0.197</v>
      </c>
      <c r="D14" s="48">
        <v>0.118</v>
      </c>
      <c r="E14" s="48">
        <v>0.054</v>
      </c>
      <c r="F14" s="49">
        <v>1.243</v>
      </c>
    </row>
    <row r="15" ht="22.5" customHeight="1">
      <c r="A15" s="54"/>
      <c r="B15" s="55"/>
      <c r="C15" s="55"/>
      <c r="D15" s="56"/>
      <c r="E15" s="56"/>
      <c r="F15" s="57"/>
    </row>
    <row r="16" ht="22.5" customHeight="1">
      <c r="A16" s="54"/>
      <c r="B16" s="55"/>
      <c r="C16" s="55"/>
      <c r="D16" s="56"/>
      <c r="E16" s="56"/>
      <c r="F16" s="57"/>
    </row>
    <row r="17" ht="22.5" customHeight="1">
      <c r="A17" s="54"/>
      <c r="B17" s="55"/>
      <c r="C17" s="58"/>
      <c r="D17" s="56"/>
      <c r="E17" s="56"/>
      <c r="F17" s="57"/>
    </row>
    <row r="18" ht="22.5" customHeight="1">
      <c r="A18" s="54"/>
      <c r="B18" s="55"/>
      <c r="C18" s="58"/>
      <c r="D18" s="58"/>
      <c r="E18" s="58"/>
      <c r="F18" s="57"/>
    </row>
    <row r="19" ht="22.5" customHeight="1">
      <c r="A19" s="54"/>
      <c r="B19" s="59"/>
      <c r="C19" s="60"/>
      <c r="D19" s="61"/>
      <c r="E19" s="61"/>
      <c r="F19" s="57"/>
      <c r="G19" s="38"/>
      <c r="H19" s="38"/>
      <c r="I19" s="38"/>
      <c r="J19" s="62" t="s">
        <v>35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63"/>
    </row>
    <row r="20" ht="22.5" customHeight="1">
      <c r="A20" s="54"/>
      <c r="B20" s="55"/>
      <c r="C20" s="55"/>
      <c r="D20" s="56"/>
      <c r="E20" s="56"/>
      <c r="F20" s="57"/>
      <c r="H20" s="64" t="s">
        <v>36</v>
      </c>
      <c r="I20" s="65">
        <v>0.005</v>
      </c>
      <c r="M20" s="66" t="s">
        <v>37</v>
      </c>
      <c r="N20" s="67">
        <v>1000.0</v>
      </c>
      <c r="Y20" s="68"/>
    </row>
    <row r="21" ht="22.5" customHeight="1">
      <c r="A21" s="54"/>
      <c r="B21" s="69"/>
      <c r="C21" s="69"/>
      <c r="D21" s="56"/>
      <c r="E21" s="56"/>
      <c r="F21" s="57"/>
      <c r="I21" s="1" t="s">
        <v>38</v>
      </c>
      <c r="J21" s="44" t="s">
        <v>2</v>
      </c>
      <c r="K21" s="44" t="s">
        <v>3</v>
      </c>
      <c r="L21" s="44" t="s">
        <v>4</v>
      </c>
      <c r="M21" s="44" t="s">
        <v>5</v>
      </c>
      <c r="P21" s="70" t="s">
        <v>39</v>
      </c>
      <c r="Y21" s="68"/>
    </row>
    <row r="22" ht="22.5" customHeight="1">
      <c r="A22" s="54"/>
      <c r="B22" s="69"/>
      <c r="C22" s="69"/>
      <c r="D22" s="56"/>
      <c r="E22" s="56"/>
      <c r="F22" s="57"/>
      <c r="I22" s="1">
        <v>1.0</v>
      </c>
      <c r="J22" s="71">
        <f t="shared" ref="J22:L22" si="1">C5-$I$20</f>
        <v>0.197</v>
      </c>
      <c r="K22" s="71">
        <f t="shared" si="1"/>
        <v>0.115</v>
      </c>
      <c r="L22" s="71">
        <f t="shared" si="1"/>
        <v>0.046</v>
      </c>
      <c r="M22" s="72">
        <f t="shared" ref="M22:M31" si="3">(J22*K22*L22)*N$20</f>
        <v>1.04213</v>
      </c>
      <c r="P22" s="70" t="s">
        <v>2</v>
      </c>
      <c r="S22" s="70" t="s">
        <v>3</v>
      </c>
      <c r="V22" s="70" t="s">
        <v>4</v>
      </c>
      <c r="Y22" s="68"/>
    </row>
    <row r="23" ht="22.5" customHeight="1">
      <c r="A23" s="54"/>
      <c r="B23" s="69"/>
      <c r="C23" s="69"/>
      <c r="D23" s="56"/>
      <c r="E23" s="56"/>
      <c r="F23" s="57"/>
      <c r="I23" s="1">
        <v>2.0</v>
      </c>
      <c r="J23" s="71">
        <f t="shared" ref="J23:L23" si="2">C6-I$20</f>
        <v>0.207</v>
      </c>
      <c r="K23" s="71">
        <f t="shared" si="2"/>
        <v>0.116</v>
      </c>
      <c r="L23" s="71">
        <f t="shared" si="2"/>
        <v>0.05</v>
      </c>
      <c r="M23" s="72">
        <f t="shared" si="3"/>
        <v>1.2006</v>
      </c>
      <c r="P23" s="73"/>
      <c r="Q23" s="74">
        <v>0.2</v>
      </c>
      <c r="R23" s="75"/>
      <c r="S23" s="76">
        <v>0.1</v>
      </c>
      <c r="T23" s="75"/>
      <c r="U23" s="75"/>
      <c r="V23" s="76">
        <v>0.05</v>
      </c>
      <c r="W23" s="75"/>
      <c r="Y23" s="68"/>
    </row>
    <row r="24" ht="22.5" customHeight="1">
      <c r="A24" s="54"/>
      <c r="B24" s="69"/>
      <c r="C24" s="69"/>
      <c r="D24" s="56"/>
      <c r="E24" s="56"/>
      <c r="F24" s="57"/>
      <c r="I24" s="1">
        <v>3.0</v>
      </c>
      <c r="J24" s="71">
        <f t="shared" ref="J24:L24" si="4">C7-I$20</f>
        <v>0.198</v>
      </c>
      <c r="K24" s="71">
        <f t="shared" si="4"/>
        <v>0.11</v>
      </c>
      <c r="L24" s="71">
        <f t="shared" si="4"/>
        <v>0.067</v>
      </c>
      <c r="M24" s="72">
        <f t="shared" si="3"/>
        <v>1.45926</v>
      </c>
      <c r="O24" s="77"/>
      <c r="P24" s="78" t="s">
        <v>40</v>
      </c>
      <c r="Y24" s="68"/>
    </row>
    <row r="25" ht="22.5" customHeight="1">
      <c r="A25" s="54"/>
      <c r="B25" s="69"/>
      <c r="C25" s="69"/>
      <c r="D25" s="56"/>
      <c r="E25" s="56"/>
      <c r="F25" s="57"/>
      <c r="I25" s="1">
        <v>4.0</v>
      </c>
      <c r="J25" s="71">
        <f t="shared" ref="J25:L25" si="5">C8-I$20</f>
        <v>0.2</v>
      </c>
      <c r="K25" s="71">
        <f t="shared" si="5"/>
        <v>0.108</v>
      </c>
      <c r="L25" s="71">
        <f t="shared" si="5"/>
        <v>0.051</v>
      </c>
      <c r="M25" s="72">
        <f t="shared" si="3"/>
        <v>1.1016</v>
      </c>
      <c r="O25" s="77"/>
      <c r="P25" s="79" t="s">
        <v>41</v>
      </c>
      <c r="S25" s="79" t="s">
        <v>42</v>
      </c>
      <c r="V25" s="79" t="s">
        <v>43</v>
      </c>
      <c r="Y25" s="68"/>
    </row>
    <row r="26" ht="22.5" customHeight="1">
      <c r="A26" s="54"/>
      <c r="B26" s="69"/>
      <c r="C26" s="69"/>
      <c r="D26" s="56"/>
      <c r="E26" s="56"/>
      <c r="F26" s="57"/>
      <c r="I26" s="1">
        <v>5.0</v>
      </c>
      <c r="J26" s="71">
        <f t="shared" ref="J26:L26" si="6">C9-I$20</f>
        <v>0.23</v>
      </c>
      <c r="K26" s="71">
        <f t="shared" si="6"/>
        <v>0.113</v>
      </c>
      <c r="L26" s="71">
        <f t="shared" si="6"/>
        <v>0.05</v>
      </c>
      <c r="M26" s="72">
        <f t="shared" si="3"/>
        <v>1.2995</v>
      </c>
      <c r="O26" s="80" t="s">
        <v>38</v>
      </c>
      <c r="P26" s="80" t="s">
        <v>44</v>
      </c>
      <c r="Q26" s="80" t="s">
        <v>45</v>
      </c>
      <c r="R26" s="81"/>
      <c r="S26" s="80" t="s">
        <v>44</v>
      </c>
      <c r="T26" s="80" t="s">
        <v>45</v>
      </c>
      <c r="U26" s="82"/>
      <c r="V26" s="80" t="s">
        <v>44</v>
      </c>
      <c r="W26" s="80" t="s">
        <v>45</v>
      </c>
      <c r="Y26" s="68"/>
    </row>
    <row r="27" ht="22.5" customHeight="1">
      <c r="A27" s="54"/>
      <c r="B27" s="69"/>
      <c r="C27" s="69"/>
      <c r="D27" s="56"/>
      <c r="E27" s="56"/>
      <c r="F27" s="57"/>
      <c r="I27" s="1">
        <v>6.0</v>
      </c>
      <c r="J27" s="71">
        <f t="shared" ref="J27:L27" si="7">C10-I$20</f>
        <v>0.197</v>
      </c>
      <c r="K27" s="71">
        <f t="shared" si="7"/>
        <v>0.111</v>
      </c>
      <c r="L27" s="71">
        <f t="shared" si="7"/>
        <v>0.056</v>
      </c>
      <c r="M27" s="72">
        <f t="shared" si="3"/>
        <v>1.224552</v>
      </c>
      <c r="O27" s="1">
        <v>1.0</v>
      </c>
      <c r="P27" s="83">
        <f t="shared" ref="P27:P36" si="9">abs(J22-Q$23)^2</f>
        <v>0.000009</v>
      </c>
      <c r="Q27" s="83">
        <f t="shared" ref="Q27:Q36" si="10">ABS(J22-AVERAGE(J$22:J$31))^2</f>
        <v>0.00001936</v>
      </c>
      <c r="R27" s="84"/>
      <c r="S27" s="83">
        <f t="shared" ref="S27:S36" si="11">abs(K22-S$23)^2</f>
        <v>0.000225</v>
      </c>
      <c r="T27" s="83">
        <f t="shared" ref="T27:T36" si="12">ABS(K22-AVERAGE(K$22:K$31))^2</f>
        <v>0.00000529</v>
      </c>
      <c r="U27" s="83"/>
      <c r="V27" s="83">
        <f t="shared" ref="V27:V36" si="13">abs(L22-V$23)^2</f>
        <v>0.000016</v>
      </c>
      <c r="W27" s="83">
        <f t="shared" ref="W27:W36" si="14">ABS(L22-AVERAGE(L$22:L$31))^2</f>
        <v>0.00006561</v>
      </c>
      <c r="Y27" s="68"/>
    </row>
    <row r="28" ht="22.5" customHeight="1">
      <c r="A28" s="54"/>
      <c r="B28" s="69"/>
      <c r="C28" s="69"/>
      <c r="D28" s="56"/>
      <c r="E28" s="56"/>
      <c r="F28" s="57"/>
      <c r="I28" s="1">
        <v>7.0</v>
      </c>
      <c r="J28" s="71">
        <f t="shared" ref="J28:L28" si="8">C11-I$20</f>
        <v>0.205</v>
      </c>
      <c r="K28" s="71">
        <f t="shared" si="8"/>
        <v>0.11</v>
      </c>
      <c r="L28" s="71">
        <f t="shared" si="8"/>
        <v>0.056</v>
      </c>
      <c r="M28" s="72">
        <f t="shared" si="3"/>
        <v>1.2628</v>
      </c>
      <c r="O28" s="1">
        <v>2.0</v>
      </c>
      <c r="P28" s="83">
        <f t="shared" si="9"/>
        <v>0.000049</v>
      </c>
      <c r="Q28" s="83">
        <f t="shared" si="10"/>
        <v>0.00003136</v>
      </c>
      <c r="R28" s="84"/>
      <c r="S28" s="83">
        <f t="shared" si="11"/>
        <v>0.000256</v>
      </c>
      <c r="T28" s="83">
        <f t="shared" si="12"/>
        <v>0.00001089</v>
      </c>
      <c r="U28" s="83"/>
      <c r="V28" s="83">
        <f t="shared" si="13"/>
        <v>0</v>
      </c>
      <c r="W28" s="83">
        <f t="shared" si="14"/>
        <v>0.00001681</v>
      </c>
      <c r="Y28" s="68"/>
    </row>
    <row r="29" ht="22.5" customHeight="1">
      <c r="A29" s="54"/>
      <c r="B29" s="69"/>
      <c r="C29" s="69"/>
      <c r="D29" s="56"/>
      <c r="E29" s="56"/>
      <c r="F29" s="57"/>
      <c r="I29" s="1">
        <v>8.0</v>
      </c>
      <c r="J29" s="71">
        <f t="shared" ref="J29:L29" si="15">C12-I$20</f>
        <v>0.194</v>
      </c>
      <c r="K29" s="71">
        <f t="shared" si="15"/>
        <v>0.114</v>
      </c>
      <c r="L29" s="71">
        <f t="shared" si="15"/>
        <v>0.056</v>
      </c>
      <c r="M29" s="72">
        <f t="shared" si="3"/>
        <v>1.238496</v>
      </c>
      <c r="O29" s="1">
        <v>3.0</v>
      </c>
      <c r="P29" s="83">
        <f t="shared" si="9"/>
        <v>0.000004</v>
      </c>
      <c r="Q29" s="83">
        <f t="shared" si="10"/>
        <v>0.00001156</v>
      </c>
      <c r="R29" s="84"/>
      <c r="S29" s="83">
        <f t="shared" si="11"/>
        <v>0.0001</v>
      </c>
      <c r="T29" s="83">
        <f t="shared" si="12"/>
        <v>0.00000729</v>
      </c>
      <c r="U29" s="83"/>
      <c r="V29" s="83">
        <f t="shared" si="13"/>
        <v>0.000289</v>
      </c>
      <c r="W29" s="83">
        <f t="shared" si="14"/>
        <v>0.00016641</v>
      </c>
      <c r="Y29" s="68"/>
    </row>
    <row r="30" ht="22.5" customHeight="1">
      <c r="A30" s="54"/>
      <c r="B30" s="69"/>
      <c r="C30" s="69"/>
      <c r="D30" s="56"/>
      <c r="E30" s="56"/>
      <c r="F30" s="57"/>
      <c r="I30" s="1">
        <v>9.0</v>
      </c>
      <c r="J30" s="71">
        <f t="shared" ref="J30:L30" si="16">C13-I$20</f>
        <v>0.194</v>
      </c>
      <c r="K30" s="71">
        <f t="shared" si="16"/>
        <v>0.112</v>
      </c>
      <c r="L30" s="71">
        <f t="shared" si="16"/>
        <v>0.055</v>
      </c>
      <c r="M30" s="72">
        <f t="shared" si="3"/>
        <v>1.19504</v>
      </c>
      <c r="O30" s="1">
        <v>4.0</v>
      </c>
      <c r="P30" s="83">
        <f t="shared" si="9"/>
        <v>0</v>
      </c>
      <c r="Q30" s="83">
        <f t="shared" si="10"/>
        <v>0.00000196</v>
      </c>
      <c r="R30" s="84"/>
      <c r="S30" s="83">
        <f t="shared" si="11"/>
        <v>0.000064</v>
      </c>
      <c r="T30" s="83">
        <f t="shared" si="12"/>
        <v>0.00002209</v>
      </c>
      <c r="U30" s="83"/>
      <c r="V30" s="83">
        <f t="shared" si="13"/>
        <v>0.000001</v>
      </c>
      <c r="W30" s="83">
        <f t="shared" si="14"/>
        <v>0.00000961</v>
      </c>
      <c r="Y30" s="68"/>
    </row>
    <row r="31" ht="22.5" customHeight="1">
      <c r="A31" s="54"/>
      <c r="B31" s="69"/>
      <c r="C31" s="69"/>
      <c r="D31" s="56"/>
      <c r="E31" s="56"/>
      <c r="F31" s="57"/>
      <c r="I31" s="1">
        <v>10.0</v>
      </c>
      <c r="J31" s="71">
        <f t="shared" ref="J31:L31" si="17">C14-I$20</f>
        <v>0.192</v>
      </c>
      <c r="K31" s="71">
        <f t="shared" si="17"/>
        <v>0.118</v>
      </c>
      <c r="L31" s="71">
        <f t="shared" si="17"/>
        <v>0.054</v>
      </c>
      <c r="M31" s="72">
        <f t="shared" si="3"/>
        <v>1.223424</v>
      </c>
      <c r="O31" s="1">
        <v>5.0</v>
      </c>
      <c r="P31" s="83">
        <f t="shared" si="9"/>
        <v>0.0009</v>
      </c>
      <c r="Q31" s="83">
        <f t="shared" si="10"/>
        <v>0.00081796</v>
      </c>
      <c r="R31" s="84"/>
      <c r="S31" s="83">
        <f t="shared" si="11"/>
        <v>0.000169</v>
      </c>
      <c r="T31" s="83">
        <f t="shared" si="12"/>
        <v>0.00000009</v>
      </c>
      <c r="U31" s="83"/>
      <c r="V31" s="83">
        <f t="shared" si="13"/>
        <v>0</v>
      </c>
      <c r="W31" s="83">
        <f t="shared" si="14"/>
        <v>0.00001681</v>
      </c>
      <c r="Y31" s="68"/>
    </row>
    <row r="32" ht="22.5" customHeight="1">
      <c r="A32" s="54"/>
      <c r="B32" s="69"/>
      <c r="C32" s="69"/>
      <c r="D32" s="56"/>
      <c r="E32" s="56"/>
      <c r="F32" s="57"/>
      <c r="O32" s="1">
        <v>6.0</v>
      </c>
      <c r="P32" s="83">
        <f t="shared" si="9"/>
        <v>0.000009</v>
      </c>
      <c r="Q32" s="83">
        <f t="shared" si="10"/>
        <v>0.00001936</v>
      </c>
      <c r="R32" s="84"/>
      <c r="S32" s="83">
        <f t="shared" si="11"/>
        <v>0.000121</v>
      </c>
      <c r="T32" s="83">
        <f t="shared" si="12"/>
        <v>0.00000289</v>
      </c>
      <c r="U32" s="83"/>
      <c r="V32" s="83">
        <f t="shared" si="13"/>
        <v>0.000036</v>
      </c>
      <c r="W32" s="83">
        <f t="shared" si="14"/>
        <v>0.00000361</v>
      </c>
      <c r="Y32" s="68"/>
    </row>
    <row r="33" ht="22.5" customHeight="1">
      <c r="A33" s="54"/>
      <c r="B33" s="55"/>
      <c r="C33" s="55"/>
      <c r="D33" s="56"/>
      <c r="E33" s="56"/>
      <c r="F33" s="57"/>
      <c r="O33" s="1">
        <v>7.0</v>
      </c>
      <c r="P33" s="83">
        <f t="shared" si="9"/>
        <v>0.000025</v>
      </c>
      <c r="Q33" s="83">
        <f t="shared" si="10"/>
        <v>0.00001296</v>
      </c>
      <c r="R33" s="84"/>
      <c r="S33" s="83">
        <f t="shared" si="11"/>
        <v>0.0001</v>
      </c>
      <c r="T33" s="83">
        <f t="shared" si="12"/>
        <v>0.00000729</v>
      </c>
      <c r="U33" s="83"/>
      <c r="V33" s="83">
        <f t="shared" si="13"/>
        <v>0.000036</v>
      </c>
      <c r="W33" s="83">
        <f t="shared" si="14"/>
        <v>0.00000361</v>
      </c>
      <c r="Y33" s="68"/>
    </row>
    <row r="34" ht="22.5" customHeight="1">
      <c r="A34" s="54"/>
      <c r="B34" s="55"/>
      <c r="C34" s="55"/>
      <c r="D34" s="56"/>
      <c r="E34" s="56"/>
      <c r="F34" s="57"/>
      <c r="O34" s="1">
        <v>8.0</v>
      </c>
      <c r="P34" s="83">
        <f t="shared" si="9"/>
        <v>0.000036</v>
      </c>
      <c r="Q34" s="83">
        <f t="shared" si="10"/>
        <v>0.00005476</v>
      </c>
      <c r="R34" s="84"/>
      <c r="S34" s="83">
        <f t="shared" si="11"/>
        <v>0.000196</v>
      </c>
      <c r="T34" s="83">
        <f t="shared" si="12"/>
        <v>0.00000169</v>
      </c>
      <c r="U34" s="83"/>
      <c r="V34" s="83">
        <f t="shared" si="13"/>
        <v>0.000036</v>
      </c>
      <c r="W34" s="83">
        <f t="shared" si="14"/>
        <v>0.00000361</v>
      </c>
      <c r="Y34" s="68"/>
    </row>
    <row r="35" ht="22.5" customHeight="1">
      <c r="A35" s="54"/>
      <c r="B35" s="55"/>
      <c r="C35" s="55"/>
      <c r="D35" s="56"/>
      <c r="E35" s="56"/>
      <c r="F35" s="57"/>
      <c r="O35" s="1">
        <v>9.0</v>
      </c>
      <c r="P35" s="83">
        <f t="shared" si="9"/>
        <v>0.000036</v>
      </c>
      <c r="Q35" s="83">
        <f t="shared" si="10"/>
        <v>0.00005476</v>
      </c>
      <c r="R35" s="84"/>
      <c r="S35" s="83">
        <f t="shared" si="11"/>
        <v>0.000144</v>
      </c>
      <c r="T35" s="83">
        <f t="shared" si="12"/>
        <v>0.00000049</v>
      </c>
      <c r="U35" s="83"/>
      <c r="V35" s="83">
        <f t="shared" si="13"/>
        <v>0.000025</v>
      </c>
      <c r="W35" s="83">
        <f t="shared" si="14"/>
        <v>0.00000081</v>
      </c>
      <c r="Y35" s="68"/>
    </row>
    <row r="36" ht="22.5" customHeight="1">
      <c r="A36" s="54"/>
      <c r="B36" s="55"/>
      <c r="C36" s="55"/>
      <c r="D36" s="56"/>
      <c r="E36" s="56"/>
      <c r="F36" s="57"/>
      <c r="O36" s="1">
        <v>10.0</v>
      </c>
      <c r="P36" s="83">
        <f t="shared" si="9"/>
        <v>0.000064</v>
      </c>
      <c r="Q36" s="83">
        <f t="shared" si="10"/>
        <v>0.00008836</v>
      </c>
      <c r="R36" s="84"/>
      <c r="S36" s="83">
        <f t="shared" si="11"/>
        <v>0.000324</v>
      </c>
      <c r="T36" s="83">
        <f t="shared" si="12"/>
        <v>0.00002809</v>
      </c>
      <c r="U36" s="83"/>
      <c r="V36" s="83">
        <f t="shared" si="13"/>
        <v>0.000016</v>
      </c>
      <c r="W36" s="83">
        <f t="shared" si="14"/>
        <v>0.00000001</v>
      </c>
      <c r="Y36" s="68"/>
    </row>
    <row r="37" ht="22.5" customHeight="1">
      <c r="A37" s="54"/>
      <c r="B37" s="55"/>
      <c r="C37" s="55"/>
      <c r="D37" s="56"/>
      <c r="E37" s="56"/>
      <c r="F37" s="57"/>
      <c r="O37" s="85" t="s">
        <v>46</v>
      </c>
      <c r="P37" s="86">
        <f t="shared" ref="P37:Q37" si="18">SUM(P27:P36)</f>
        <v>0.001132</v>
      </c>
      <c r="Q37" s="86">
        <f t="shared" si="18"/>
        <v>0.0011124</v>
      </c>
      <c r="R37" s="87"/>
      <c r="S37" s="86">
        <f t="shared" ref="S37:T37" si="19">SUM(S27:S36)</f>
        <v>0.001699</v>
      </c>
      <c r="T37" s="86">
        <f t="shared" si="19"/>
        <v>0.0000861</v>
      </c>
      <c r="U37" s="86"/>
      <c r="V37" s="86">
        <f t="shared" ref="V37:W37" si="20">SUM(V27:V36)</f>
        <v>0.000455</v>
      </c>
      <c r="W37" s="86">
        <f t="shared" si="20"/>
        <v>0.0002869</v>
      </c>
      <c r="Y37" s="68"/>
    </row>
    <row r="38" ht="22.5" customHeight="1">
      <c r="A38" s="54"/>
      <c r="B38" s="55"/>
      <c r="C38" s="55"/>
      <c r="D38" s="56"/>
      <c r="E38" s="56"/>
      <c r="F38" s="57"/>
      <c r="O38" s="85" t="s">
        <v>47</v>
      </c>
      <c r="P38" s="86">
        <f t="shared" ref="P38:Q38" si="21">AVERAGE(P27:P36)</f>
        <v>0.0001132</v>
      </c>
      <c r="Q38" s="86">
        <f t="shared" si="21"/>
        <v>0.00011124</v>
      </c>
      <c r="R38" s="88"/>
      <c r="S38" s="86">
        <f t="shared" ref="S38:T38" si="22">AVERAGE(S27:S36)</f>
        <v>0.0001699</v>
      </c>
      <c r="T38" s="86">
        <f t="shared" si="22"/>
        <v>0.00000861</v>
      </c>
      <c r="U38" s="89"/>
      <c r="V38" s="86">
        <f t="shared" ref="V38:W38" si="23">AVERAGE(V27:V36)</f>
        <v>0.0000455</v>
      </c>
      <c r="W38" s="86">
        <f t="shared" si="23"/>
        <v>0.00002869</v>
      </c>
      <c r="Y38" s="68"/>
    </row>
    <row r="39" ht="22.5" customHeight="1">
      <c r="A39" s="54"/>
      <c r="B39" s="55"/>
      <c r="C39" s="55"/>
      <c r="D39" s="56"/>
      <c r="E39" s="56"/>
      <c r="F39" s="57"/>
      <c r="Y39" s="68"/>
    </row>
    <row r="40">
      <c r="A40" s="90"/>
      <c r="F40" s="68"/>
      <c r="Y40" s="68"/>
    </row>
    <row r="41">
      <c r="A41" s="90"/>
      <c r="F41" s="68"/>
      <c r="Y41" s="68"/>
    </row>
    <row r="42">
      <c r="A42" s="90"/>
      <c r="F42" s="68"/>
      <c r="Y42" s="68"/>
    </row>
    <row r="43">
      <c r="A43" s="90"/>
      <c r="F43" s="68"/>
      <c r="K43" s="91" t="s">
        <v>48</v>
      </c>
      <c r="L43" s="92">
        <v>1.0</v>
      </c>
      <c r="Y43" s="68"/>
    </row>
    <row r="44">
      <c r="A44" s="93"/>
      <c r="B44" s="94"/>
      <c r="C44" s="95" t="s">
        <v>49</v>
      </c>
      <c r="D44" s="76">
        <v>1.0</v>
      </c>
      <c r="F44" s="68"/>
      <c r="Y44" s="68"/>
    </row>
    <row r="45" ht="22.5" customHeight="1">
      <c r="A45" s="96" t="s">
        <v>50</v>
      </c>
      <c r="B45" s="6" t="s">
        <v>51</v>
      </c>
      <c r="C45" s="19" t="s">
        <v>52</v>
      </c>
      <c r="D45" s="19" t="s">
        <v>53</v>
      </c>
      <c r="E45" s="6" t="s">
        <v>16</v>
      </c>
      <c r="F45" s="97" t="s">
        <v>54</v>
      </c>
      <c r="G45" s="4" t="s">
        <v>50</v>
      </c>
      <c r="H45" s="4" t="s">
        <v>51</v>
      </c>
      <c r="I45" s="98" t="s">
        <v>55</v>
      </c>
      <c r="J45" s="98" t="s">
        <v>53</v>
      </c>
      <c r="K45" s="4" t="s">
        <v>16</v>
      </c>
      <c r="L45" s="4" t="s">
        <v>56</v>
      </c>
      <c r="Y45" s="68"/>
    </row>
    <row r="46" ht="22.5" customHeight="1">
      <c r="A46" s="99">
        <v>1.0</v>
      </c>
      <c r="B46" s="100">
        <f t="shared" ref="B46:B55" si="24">F5</f>
        <v>1.238</v>
      </c>
      <c r="C46" s="101">
        <f t="shared" ref="C46:C55" si="25">abs(B46-D$44)^2</f>
        <v>0.056644</v>
      </c>
      <c r="D46" s="102">
        <f t="shared" ref="D46:D55" si="26">(B46-B$56)^2</f>
        <v>0.00119025</v>
      </c>
      <c r="E46" s="47">
        <f t="shared" ref="E46:E55" si="27">B5</f>
        <v>0.09</v>
      </c>
      <c r="F46" s="103"/>
      <c r="G46" s="104" t="s">
        <v>57</v>
      </c>
      <c r="H46" s="100">
        <f t="shared" ref="H46:H55" si="28">M22</f>
        <v>1.04213</v>
      </c>
      <c r="I46" s="105">
        <f t="shared" ref="I46:I55" si="29">abs(H46-L$43)^2</f>
        <v>0.0017749369</v>
      </c>
      <c r="J46" s="105">
        <f t="shared" ref="J46:J55" si="30">ABS(H46-H$56/10)^2</f>
        <v>0.03334648514</v>
      </c>
      <c r="K46" s="47">
        <f t="shared" ref="K46:K55" si="31">B5</f>
        <v>0.09</v>
      </c>
      <c r="L46" s="106">
        <f t="shared" ref="L46:L55" si="32">ABS(L$43-H46)/L$43</f>
        <v>0.04213</v>
      </c>
      <c r="M46" s="15"/>
      <c r="Y46" s="68"/>
    </row>
    <row r="47" ht="22.5" customHeight="1">
      <c r="A47" s="99">
        <v>2.0</v>
      </c>
      <c r="B47" s="100">
        <f t="shared" si="24"/>
        <v>1.225</v>
      </c>
      <c r="C47" s="101">
        <f t="shared" si="25"/>
        <v>0.050625</v>
      </c>
      <c r="D47" s="102">
        <f t="shared" si="26"/>
        <v>0.00225625</v>
      </c>
      <c r="E47" s="47">
        <f t="shared" si="27"/>
        <v>0.1</v>
      </c>
      <c r="F47" s="103"/>
      <c r="G47" s="104" t="s">
        <v>58</v>
      </c>
      <c r="H47" s="100">
        <f t="shared" si="28"/>
        <v>1.2006</v>
      </c>
      <c r="I47" s="105">
        <f t="shared" si="29"/>
        <v>0.04024036</v>
      </c>
      <c r="J47" s="105">
        <f t="shared" si="30"/>
        <v>0.000582749256</v>
      </c>
      <c r="K47" s="47">
        <f t="shared" si="31"/>
        <v>0.1</v>
      </c>
      <c r="L47" s="106">
        <f t="shared" si="32"/>
        <v>0.2006</v>
      </c>
      <c r="Y47" s="68"/>
    </row>
    <row r="48" ht="22.5" customHeight="1">
      <c r="A48" s="99">
        <v>3.0</v>
      </c>
      <c r="B48" s="100">
        <f t="shared" si="24"/>
        <v>1.503</v>
      </c>
      <c r="C48" s="101">
        <f t="shared" si="25"/>
        <v>0.253009</v>
      </c>
      <c r="D48" s="102">
        <f t="shared" si="26"/>
        <v>0.05313025</v>
      </c>
      <c r="E48" s="47">
        <f t="shared" si="27"/>
        <v>0.09</v>
      </c>
      <c r="F48" s="103"/>
      <c r="G48" s="104" t="s">
        <v>59</v>
      </c>
      <c r="H48" s="100">
        <f t="shared" si="28"/>
        <v>1.45926</v>
      </c>
      <c r="I48" s="105">
        <f t="shared" si="29"/>
        <v>0.2109197476</v>
      </c>
      <c r="J48" s="105">
        <f t="shared" si="30"/>
        <v>0.05499953659</v>
      </c>
      <c r="K48" s="47">
        <f t="shared" si="31"/>
        <v>0.09</v>
      </c>
      <c r="L48" s="106">
        <f t="shared" si="32"/>
        <v>0.45926</v>
      </c>
      <c r="Y48" s="68"/>
    </row>
    <row r="49" ht="22.5" customHeight="1">
      <c r="A49" s="99">
        <v>4.0</v>
      </c>
      <c r="B49" s="100">
        <f t="shared" si="24"/>
        <v>1.14</v>
      </c>
      <c r="C49" s="101">
        <f t="shared" si="25"/>
        <v>0.0196</v>
      </c>
      <c r="D49" s="102">
        <f t="shared" si="26"/>
        <v>0.01755625</v>
      </c>
      <c r="E49" s="47">
        <f t="shared" si="27"/>
        <v>0.29</v>
      </c>
      <c r="F49" s="103"/>
      <c r="G49" s="104" t="s">
        <v>60</v>
      </c>
      <c r="H49" s="100">
        <f t="shared" si="28"/>
        <v>1.1016</v>
      </c>
      <c r="I49" s="105">
        <f t="shared" si="29"/>
        <v>0.01032256</v>
      </c>
      <c r="J49" s="105">
        <f t="shared" si="30"/>
        <v>0.01516350886</v>
      </c>
      <c r="K49" s="47">
        <f t="shared" si="31"/>
        <v>0.29</v>
      </c>
      <c r="L49" s="106">
        <f t="shared" si="32"/>
        <v>0.1016</v>
      </c>
      <c r="Y49" s="68"/>
    </row>
    <row r="50" ht="22.5" customHeight="1">
      <c r="A50" s="99">
        <v>5.0</v>
      </c>
      <c r="B50" s="100">
        <f t="shared" si="24"/>
        <v>1.331</v>
      </c>
      <c r="C50" s="101">
        <f t="shared" si="25"/>
        <v>0.109561</v>
      </c>
      <c r="D50" s="102">
        <f t="shared" si="26"/>
        <v>0.00342225</v>
      </c>
      <c r="E50" s="47">
        <f t="shared" si="27"/>
        <v>0.1</v>
      </c>
      <c r="F50" s="103"/>
      <c r="G50" s="104" t="s">
        <v>61</v>
      </c>
      <c r="H50" s="100">
        <f t="shared" si="28"/>
        <v>1.2995</v>
      </c>
      <c r="I50" s="105">
        <f t="shared" si="29"/>
        <v>0.08970025</v>
      </c>
      <c r="J50" s="105">
        <f t="shared" si="30"/>
        <v>0.005589027696</v>
      </c>
      <c r="K50" s="47">
        <f t="shared" si="31"/>
        <v>0.1</v>
      </c>
      <c r="L50" s="106">
        <f t="shared" si="32"/>
        <v>0.2995</v>
      </c>
      <c r="Y50" s="68"/>
    </row>
    <row r="51" ht="22.5" customHeight="1">
      <c r="A51" s="99">
        <v>6.0</v>
      </c>
      <c r="B51" s="100">
        <f t="shared" si="24"/>
        <v>1.253</v>
      </c>
      <c r="C51" s="101">
        <f t="shared" si="25"/>
        <v>0.064009</v>
      </c>
      <c r="D51" s="102">
        <f t="shared" si="26"/>
        <v>0.00038025</v>
      </c>
      <c r="E51" s="47">
        <f t="shared" si="27"/>
        <v>0.14</v>
      </c>
      <c r="F51" s="103"/>
      <c r="G51" s="104" t="s">
        <v>62</v>
      </c>
      <c r="H51" s="100">
        <f t="shared" si="28"/>
        <v>1.224552</v>
      </c>
      <c r="I51" s="105">
        <f t="shared" si="29"/>
        <v>0.0504236007</v>
      </c>
      <c r="J51" s="105">
        <f t="shared" si="30"/>
        <v>0.00000003541924</v>
      </c>
      <c r="K51" s="47">
        <f t="shared" si="31"/>
        <v>0.14</v>
      </c>
      <c r="L51" s="106">
        <f t="shared" si="32"/>
        <v>0.224552</v>
      </c>
      <c r="Y51" s="68"/>
    </row>
    <row r="52" ht="22.5" customHeight="1">
      <c r="A52" s="99">
        <v>7.0</v>
      </c>
      <c r="B52" s="100">
        <f t="shared" si="24"/>
        <v>1.296</v>
      </c>
      <c r="C52" s="101">
        <f t="shared" si="25"/>
        <v>0.087616</v>
      </c>
      <c r="D52" s="102">
        <f t="shared" si="26"/>
        <v>0.00055225</v>
      </c>
      <c r="E52" s="47">
        <f t="shared" si="27"/>
        <v>0.11</v>
      </c>
      <c r="F52" s="103"/>
      <c r="G52" s="104" t="s">
        <v>63</v>
      </c>
      <c r="H52" s="100">
        <f t="shared" si="28"/>
        <v>1.2628</v>
      </c>
      <c r="I52" s="105">
        <f t="shared" si="29"/>
        <v>0.06906384</v>
      </c>
      <c r="J52" s="105">
        <f t="shared" si="30"/>
        <v>0.001448548376</v>
      </c>
      <c r="K52" s="47">
        <f t="shared" si="31"/>
        <v>0.11</v>
      </c>
      <c r="L52" s="106">
        <f t="shared" si="32"/>
        <v>0.2628</v>
      </c>
      <c r="Y52" s="68"/>
    </row>
    <row r="53" ht="22.5" customHeight="1">
      <c r="A53" s="99">
        <v>8.0</v>
      </c>
      <c r="B53" s="100">
        <f t="shared" si="24"/>
        <v>1.27</v>
      </c>
      <c r="C53" s="101">
        <f t="shared" si="25"/>
        <v>0.0729</v>
      </c>
      <c r="D53" s="102">
        <f t="shared" si="26"/>
        <v>0.00000625</v>
      </c>
      <c r="E53" s="47">
        <f t="shared" si="27"/>
        <v>0.12</v>
      </c>
      <c r="F53" s="103"/>
      <c r="G53" s="104" t="s">
        <v>64</v>
      </c>
      <c r="H53" s="100">
        <f t="shared" si="28"/>
        <v>1.238496</v>
      </c>
      <c r="I53" s="105">
        <f t="shared" si="29"/>
        <v>0.05688034202</v>
      </c>
      <c r="J53" s="105">
        <f t="shared" si="30"/>
        <v>0.0001892220336</v>
      </c>
      <c r="K53" s="47">
        <f t="shared" si="31"/>
        <v>0.12</v>
      </c>
      <c r="L53" s="106">
        <f t="shared" si="32"/>
        <v>0.238496</v>
      </c>
      <c r="Y53" s="68"/>
    </row>
    <row r="54" ht="22.5" customHeight="1">
      <c r="A54" s="99">
        <v>9.0</v>
      </c>
      <c r="B54" s="100">
        <f t="shared" si="24"/>
        <v>1.226</v>
      </c>
      <c r="C54" s="101">
        <f t="shared" si="25"/>
        <v>0.051076</v>
      </c>
      <c r="D54" s="102">
        <f t="shared" si="26"/>
        <v>0.00216225</v>
      </c>
      <c r="E54" s="47">
        <f t="shared" si="27"/>
        <v>0.12</v>
      </c>
      <c r="F54" s="103"/>
      <c r="G54" s="104" t="s">
        <v>65</v>
      </c>
      <c r="H54" s="100">
        <f t="shared" si="28"/>
        <v>1.19504</v>
      </c>
      <c r="I54" s="105">
        <f t="shared" si="29"/>
        <v>0.0380406016</v>
      </c>
      <c r="J54" s="105">
        <f t="shared" si="30"/>
        <v>0.00088210188</v>
      </c>
      <c r="K54" s="47">
        <f t="shared" si="31"/>
        <v>0.12</v>
      </c>
      <c r="L54" s="106">
        <f t="shared" si="32"/>
        <v>0.19504</v>
      </c>
      <c r="Y54" s="68"/>
    </row>
    <row r="55" ht="22.5" customHeight="1">
      <c r="A55" s="99">
        <v>10.0</v>
      </c>
      <c r="B55" s="100">
        <f t="shared" si="24"/>
        <v>1.243</v>
      </c>
      <c r="C55" s="101">
        <f t="shared" si="25"/>
        <v>0.059049</v>
      </c>
      <c r="D55" s="102">
        <f t="shared" si="26"/>
        <v>0.00087025</v>
      </c>
      <c r="E55" s="47">
        <f t="shared" si="27"/>
        <v>0.08</v>
      </c>
      <c r="F55" s="103"/>
      <c r="G55" s="104" t="s">
        <v>66</v>
      </c>
      <c r="H55" s="100">
        <f t="shared" si="28"/>
        <v>1.223424</v>
      </c>
      <c r="I55" s="105">
        <f t="shared" si="29"/>
        <v>0.04991828378</v>
      </c>
      <c r="J55" s="105">
        <f t="shared" si="30"/>
        <v>0.00000173238244</v>
      </c>
      <c r="K55" s="47">
        <f t="shared" si="31"/>
        <v>0.08</v>
      </c>
      <c r="L55" s="106">
        <f t="shared" si="32"/>
        <v>0.223424</v>
      </c>
      <c r="Y55" s="68"/>
    </row>
    <row r="56" ht="22.5" customHeight="1">
      <c r="A56" s="107" t="s">
        <v>67</v>
      </c>
      <c r="B56" s="108">
        <f>AVERAGEA(B46:B55)</f>
        <v>1.2725</v>
      </c>
      <c r="C56" s="109">
        <f t="shared" ref="C56:D56" si="33">SQRT(SUM(C46:C55)/10)</f>
        <v>0.2870695038</v>
      </c>
      <c r="D56" s="110">
        <f t="shared" si="33"/>
        <v>0.09029202623</v>
      </c>
      <c r="E56" s="111">
        <f>AVERAGEA(E46:E55)</f>
        <v>0.124</v>
      </c>
      <c r="F56" s="112"/>
      <c r="G56" s="113" t="s">
        <v>46</v>
      </c>
      <c r="H56" s="114">
        <f t="shared" ref="H56:L56" si="34">SUM(H46:H55)</f>
        <v>12.247402</v>
      </c>
      <c r="I56" s="114">
        <f t="shared" si="34"/>
        <v>0.6172845226</v>
      </c>
      <c r="J56" s="114">
        <f t="shared" si="34"/>
        <v>0.1122029476</v>
      </c>
      <c r="K56" s="115">
        <f t="shared" si="34"/>
        <v>1.24</v>
      </c>
      <c r="L56" s="116">
        <f t="shared" si="34"/>
        <v>2.247402</v>
      </c>
      <c r="Y56" s="68"/>
    </row>
    <row r="57">
      <c r="A57" s="90"/>
      <c r="F57" s="68"/>
      <c r="G57" s="117"/>
      <c r="H57" s="117"/>
      <c r="I57" s="117"/>
      <c r="J57" s="117"/>
      <c r="K57" s="117"/>
      <c r="L57" s="117"/>
      <c r="M57" s="117"/>
      <c r="N57" s="117"/>
      <c r="O57" s="117"/>
      <c r="X57" s="117"/>
      <c r="Y57" s="118"/>
    </row>
    <row r="58">
      <c r="A58" s="119"/>
      <c r="B58" s="117"/>
      <c r="C58" s="117"/>
      <c r="D58" s="117"/>
      <c r="E58" s="117"/>
      <c r="F58" s="118"/>
      <c r="P58" s="117"/>
      <c r="Q58" s="117"/>
      <c r="R58" s="117"/>
      <c r="S58" s="117"/>
      <c r="T58" s="117"/>
      <c r="U58" s="117"/>
      <c r="V58" s="117"/>
      <c r="W58" s="117"/>
    </row>
  </sheetData>
  <mergeCells count="8">
    <mergeCell ref="P21:W21"/>
    <mergeCell ref="P25:R25"/>
    <mergeCell ref="S25:U25"/>
    <mergeCell ref="V25:W25"/>
    <mergeCell ref="P24:W24"/>
    <mergeCell ref="P22:R22"/>
    <mergeCell ref="S22:U22"/>
    <mergeCell ref="V22:W22"/>
  </mergeCells>
  <dataValidations>
    <dataValidation type="custom" allowBlank="1" showDropDown="1" sqref="B5:F39 A46:C56 H46:J56">
      <formula1>AND(ISNUMBER(A5),(NOT(OR(NOT(ISERROR(DATEVALUE(A5))), AND(ISNUMBER(A5), LEFT(CELL("format", A5))="D")))))</formula1>
    </dataValidation>
    <dataValidation allowBlank="1" showDropDown="1" sqref="G46:G56"/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63"/>
    <col customWidth="1" min="3" max="3" width="23.88"/>
    <col customWidth="1" min="4" max="4" width="18.38"/>
    <col customWidth="1" min="5" max="5" width="18.5"/>
    <col customWidth="1" min="6" max="6" width="30.0"/>
    <col customWidth="1" min="8" max="8" width="22.88"/>
    <col customWidth="1" min="10" max="10" width="16.0"/>
    <col customWidth="1" min="11" max="11" width="17.38"/>
    <col customWidth="1" min="12" max="12" width="20.13"/>
    <col customWidth="1" min="13" max="13" width="18.75"/>
    <col customWidth="1" min="17" max="17" width="21.75"/>
    <col customWidth="1" min="20" max="20" width="19.75"/>
    <col customWidth="1" min="23" max="23" width="21.75"/>
  </cols>
  <sheetData>
    <row r="1">
      <c r="A1" s="36"/>
      <c r="B1" s="36"/>
      <c r="C1" s="36"/>
      <c r="D1" s="36"/>
      <c r="E1" s="36"/>
      <c r="F1" s="36"/>
    </row>
    <row r="2">
      <c r="A2" s="37" t="s">
        <v>30</v>
      </c>
      <c r="B2" s="39"/>
      <c r="C2" s="39"/>
      <c r="D2" s="39"/>
      <c r="E2" s="39"/>
      <c r="F2" s="40"/>
    </row>
    <row r="3">
      <c r="A3" s="41"/>
      <c r="B3" s="36"/>
      <c r="C3" s="36"/>
      <c r="D3" s="36"/>
      <c r="E3" s="36"/>
      <c r="F3" s="42"/>
    </row>
    <row r="4" ht="22.5" customHeight="1">
      <c r="A4" s="43" t="s">
        <v>31</v>
      </c>
      <c r="B4" s="44" t="s">
        <v>32</v>
      </c>
      <c r="C4" s="44" t="s">
        <v>2</v>
      </c>
      <c r="D4" s="44" t="s">
        <v>3</v>
      </c>
      <c r="E4" s="44" t="s">
        <v>4</v>
      </c>
      <c r="F4" s="45" t="s">
        <v>5</v>
      </c>
    </row>
    <row r="5" ht="22.5" customHeight="1">
      <c r="A5" s="51" t="s">
        <v>33</v>
      </c>
      <c r="B5" s="120">
        <v>0.21</v>
      </c>
      <c r="C5" s="48">
        <v>0.25</v>
      </c>
      <c r="D5" s="48">
        <v>0.158</v>
      </c>
      <c r="E5" s="48">
        <v>0.099</v>
      </c>
      <c r="F5" s="121">
        <v>3.89</v>
      </c>
    </row>
    <row r="6" ht="22.5" customHeight="1">
      <c r="A6" s="51" t="s">
        <v>33</v>
      </c>
      <c r="B6" s="120">
        <v>0.22</v>
      </c>
      <c r="C6" s="48">
        <v>0.26</v>
      </c>
      <c r="D6" s="48">
        <v>0.164</v>
      </c>
      <c r="E6" s="48">
        <v>0.1</v>
      </c>
      <c r="F6" s="121">
        <v>4.248</v>
      </c>
    </row>
    <row r="7" ht="22.5" customHeight="1">
      <c r="A7" s="51" t="s">
        <v>33</v>
      </c>
      <c r="B7" s="120">
        <v>0.11</v>
      </c>
      <c r="C7" s="48">
        <v>0.247</v>
      </c>
      <c r="D7" s="48">
        <v>0.154</v>
      </c>
      <c r="E7" s="48">
        <v>0.096</v>
      </c>
      <c r="F7" s="121">
        <v>3.65</v>
      </c>
    </row>
    <row r="8" ht="22.5" customHeight="1">
      <c r="A8" s="51" t="s">
        <v>33</v>
      </c>
      <c r="B8" s="120">
        <v>0.22</v>
      </c>
      <c r="C8" s="48">
        <v>0.258</v>
      </c>
      <c r="D8" s="48">
        <v>0.159</v>
      </c>
      <c r="E8" s="48">
        <v>0.097</v>
      </c>
      <c r="F8" s="121">
        <v>4.0</v>
      </c>
    </row>
    <row r="9" ht="22.5" customHeight="1">
      <c r="A9" s="51" t="s">
        <v>33</v>
      </c>
      <c r="B9" s="120">
        <v>0.1</v>
      </c>
      <c r="C9" s="48">
        <v>0.246</v>
      </c>
      <c r="D9" s="48">
        <v>0.166</v>
      </c>
      <c r="E9" s="48">
        <v>0.098</v>
      </c>
      <c r="F9" s="121">
        <v>3.983</v>
      </c>
    </row>
    <row r="10" ht="22.5" customHeight="1">
      <c r="A10" s="51" t="s">
        <v>33</v>
      </c>
      <c r="B10" s="120">
        <v>0.14</v>
      </c>
      <c r="C10" s="48">
        <v>0.247</v>
      </c>
      <c r="D10" s="48">
        <v>0.164</v>
      </c>
      <c r="E10" s="48">
        <v>0.099</v>
      </c>
      <c r="F10" s="121">
        <v>3.992</v>
      </c>
    </row>
    <row r="11" ht="22.5" customHeight="1">
      <c r="A11" s="51" t="s">
        <v>33</v>
      </c>
      <c r="B11" s="120">
        <v>0.18</v>
      </c>
      <c r="C11" s="48">
        <v>0.263</v>
      </c>
      <c r="D11" s="48">
        <v>0.168</v>
      </c>
      <c r="E11" s="48">
        <v>0.091</v>
      </c>
      <c r="F11" s="121">
        <v>4.012</v>
      </c>
    </row>
    <row r="12" ht="22.5" customHeight="1">
      <c r="A12" s="51" t="s">
        <v>33</v>
      </c>
      <c r="B12" s="120">
        <v>0.16</v>
      </c>
      <c r="C12" s="48">
        <v>0.255</v>
      </c>
      <c r="D12" s="48">
        <v>0.168</v>
      </c>
      <c r="E12" s="48">
        <v>0.092</v>
      </c>
      <c r="F12" s="121">
        <v>3.959</v>
      </c>
    </row>
    <row r="13" ht="22.5" customHeight="1">
      <c r="A13" s="51" t="s">
        <v>33</v>
      </c>
      <c r="B13" s="120">
        <v>0.29</v>
      </c>
      <c r="C13" s="48">
        <v>0.248</v>
      </c>
      <c r="D13" s="48">
        <v>0.16</v>
      </c>
      <c r="E13" s="48">
        <v>0.099</v>
      </c>
      <c r="F13" s="121">
        <v>3.922</v>
      </c>
    </row>
    <row r="14" ht="22.5" customHeight="1">
      <c r="A14" s="51" t="s">
        <v>33</v>
      </c>
      <c r="B14" s="120">
        <v>0.17</v>
      </c>
      <c r="C14" s="48">
        <v>0.253</v>
      </c>
      <c r="D14" s="48">
        <v>0.17</v>
      </c>
      <c r="E14" s="48">
        <v>0.099</v>
      </c>
      <c r="F14" s="121">
        <v>4.257</v>
      </c>
    </row>
    <row r="15" ht="22.5" customHeight="1">
      <c r="A15" s="51" t="s">
        <v>34</v>
      </c>
      <c r="B15" s="120">
        <v>0.2</v>
      </c>
      <c r="C15" s="48">
        <v>0.258</v>
      </c>
      <c r="D15" s="48">
        <v>0.168</v>
      </c>
      <c r="E15" s="48">
        <v>0.097</v>
      </c>
      <c r="F15" s="121">
        <v>4.199</v>
      </c>
    </row>
    <row r="16" ht="22.5" customHeight="1">
      <c r="A16" s="51" t="s">
        <v>34</v>
      </c>
      <c r="B16" s="120">
        <v>0.2</v>
      </c>
      <c r="C16" s="48">
        <v>0.264</v>
      </c>
      <c r="D16" s="48">
        <v>0.169</v>
      </c>
      <c r="E16" s="48">
        <v>0.097</v>
      </c>
      <c r="F16" s="121">
        <v>4.346</v>
      </c>
    </row>
    <row r="17" ht="22.5" customHeight="1">
      <c r="A17" s="51" t="s">
        <v>34</v>
      </c>
      <c r="B17" s="120">
        <v>0.17</v>
      </c>
      <c r="C17" s="48">
        <v>0.259</v>
      </c>
      <c r="D17" s="48">
        <v>0.161</v>
      </c>
      <c r="E17" s="48">
        <v>0.097</v>
      </c>
      <c r="F17" s="121">
        <v>4.037</v>
      </c>
    </row>
    <row r="18" ht="22.5" customHeight="1">
      <c r="A18" s="51" t="s">
        <v>34</v>
      </c>
      <c r="B18" s="120">
        <v>0.19</v>
      </c>
      <c r="C18" s="48">
        <v>0.255</v>
      </c>
      <c r="D18" s="48">
        <v>0.167</v>
      </c>
      <c r="E18" s="48">
        <v>0.098</v>
      </c>
      <c r="F18" s="121">
        <v>4.178</v>
      </c>
    </row>
    <row r="19" ht="22.5" customHeight="1">
      <c r="A19" s="51" t="s">
        <v>34</v>
      </c>
      <c r="B19" s="120">
        <v>0.16</v>
      </c>
      <c r="C19" s="48">
        <v>0.254</v>
      </c>
      <c r="D19" s="48">
        <v>0.16</v>
      </c>
      <c r="E19" s="48">
        <v>0.097</v>
      </c>
      <c r="F19" s="121">
        <v>3.932</v>
      </c>
      <c r="H19" s="122"/>
      <c r="I19" s="38"/>
      <c r="J19" s="62" t="s">
        <v>35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63"/>
    </row>
    <row r="20" ht="22.5" customHeight="1">
      <c r="A20" s="123"/>
      <c r="B20" s="124"/>
      <c r="C20" s="56"/>
      <c r="D20" s="56"/>
      <c r="E20" s="56"/>
      <c r="F20" s="125"/>
      <c r="H20" s="126" t="s">
        <v>36</v>
      </c>
      <c r="I20" s="65">
        <v>0.005</v>
      </c>
      <c r="M20" s="66" t="s">
        <v>37</v>
      </c>
      <c r="N20" s="67">
        <v>1000.0</v>
      </c>
      <c r="W20" s="68"/>
    </row>
    <row r="21" ht="22.5" customHeight="1">
      <c r="A21" s="123"/>
      <c r="B21" s="124"/>
      <c r="C21" s="56"/>
      <c r="D21" s="56"/>
      <c r="E21" s="56"/>
      <c r="F21" s="125"/>
      <c r="H21" s="90"/>
      <c r="I21" s="127" t="s">
        <v>38</v>
      </c>
      <c r="J21" s="44" t="s">
        <v>68</v>
      </c>
      <c r="K21" s="44" t="s">
        <v>3</v>
      </c>
      <c r="L21" s="44" t="s">
        <v>4</v>
      </c>
      <c r="M21" s="44" t="s">
        <v>5</v>
      </c>
      <c r="P21" s="70" t="s">
        <v>39</v>
      </c>
      <c r="W21" s="128"/>
    </row>
    <row r="22" ht="22.5" customHeight="1">
      <c r="A22" s="123"/>
      <c r="B22" s="124"/>
      <c r="C22" s="56"/>
      <c r="D22" s="56"/>
      <c r="E22" s="56"/>
      <c r="F22" s="125"/>
      <c r="H22" s="129"/>
      <c r="I22" s="1">
        <v>1.0</v>
      </c>
      <c r="J22" s="71">
        <f t="shared" ref="J22:L22" si="1">C5-$I$20</f>
        <v>0.245</v>
      </c>
      <c r="K22" s="71">
        <f t="shared" si="1"/>
        <v>0.153</v>
      </c>
      <c r="L22" s="71">
        <f t="shared" si="1"/>
        <v>0.094</v>
      </c>
      <c r="M22" s="72">
        <f t="shared" ref="M22:M36" si="3">(J22*K22*L22)*N$20</f>
        <v>3.52359</v>
      </c>
      <c r="P22" s="70" t="s">
        <v>2</v>
      </c>
      <c r="S22" s="70" t="s">
        <v>3</v>
      </c>
      <c r="V22" s="70" t="s">
        <v>4</v>
      </c>
      <c r="W22" s="128"/>
    </row>
    <row r="23" ht="22.5" customHeight="1">
      <c r="A23" s="123"/>
      <c r="B23" s="124"/>
      <c r="C23" s="56"/>
      <c r="D23" s="56"/>
      <c r="E23" s="56"/>
      <c r="F23" s="125"/>
      <c r="H23" s="129"/>
      <c r="I23" s="1">
        <v>2.0</v>
      </c>
      <c r="J23" s="71">
        <f t="shared" ref="J23:L23" si="2">C6-$I$20</f>
        <v>0.255</v>
      </c>
      <c r="K23" s="71">
        <f t="shared" si="2"/>
        <v>0.159</v>
      </c>
      <c r="L23" s="71">
        <f t="shared" si="2"/>
        <v>0.095</v>
      </c>
      <c r="M23" s="72">
        <f t="shared" si="3"/>
        <v>3.851775</v>
      </c>
      <c r="P23" s="73"/>
      <c r="Q23" s="74">
        <v>0.25</v>
      </c>
      <c r="R23" s="75"/>
      <c r="S23" s="76">
        <v>0.15</v>
      </c>
      <c r="T23" s="75"/>
      <c r="U23" s="75"/>
      <c r="V23" s="76">
        <v>0.1</v>
      </c>
      <c r="W23" s="130"/>
    </row>
    <row r="24" ht="22.5" customHeight="1">
      <c r="A24" s="123"/>
      <c r="B24" s="124"/>
      <c r="C24" s="56"/>
      <c r="D24" s="56"/>
      <c r="E24" s="56"/>
      <c r="F24" s="125"/>
      <c r="H24" s="129"/>
      <c r="I24" s="1">
        <v>3.0</v>
      </c>
      <c r="J24" s="71">
        <f t="shared" ref="J24:L24" si="4">C7-$I$20</f>
        <v>0.242</v>
      </c>
      <c r="K24" s="71">
        <f t="shared" si="4"/>
        <v>0.149</v>
      </c>
      <c r="L24" s="71">
        <f t="shared" si="4"/>
        <v>0.091</v>
      </c>
      <c r="M24" s="72">
        <f t="shared" si="3"/>
        <v>3.281278</v>
      </c>
      <c r="O24" s="77"/>
      <c r="P24" s="78" t="s">
        <v>40</v>
      </c>
      <c r="W24" s="128"/>
    </row>
    <row r="25" ht="22.5" customHeight="1">
      <c r="A25" s="123"/>
      <c r="B25" s="124"/>
      <c r="C25" s="56"/>
      <c r="D25" s="56"/>
      <c r="E25" s="56"/>
      <c r="F25" s="125"/>
      <c r="H25" s="129"/>
      <c r="I25" s="1">
        <v>4.0</v>
      </c>
      <c r="J25" s="71">
        <f t="shared" ref="J25:L25" si="5">C8-$I$20</f>
        <v>0.253</v>
      </c>
      <c r="K25" s="71">
        <f t="shared" si="5"/>
        <v>0.154</v>
      </c>
      <c r="L25" s="71">
        <f t="shared" si="5"/>
        <v>0.092</v>
      </c>
      <c r="M25" s="72">
        <f t="shared" si="3"/>
        <v>3.584504</v>
      </c>
      <c r="O25" s="77"/>
      <c r="P25" s="79" t="s">
        <v>41</v>
      </c>
      <c r="S25" s="79" t="s">
        <v>42</v>
      </c>
      <c r="V25" s="79" t="s">
        <v>43</v>
      </c>
      <c r="W25" s="128"/>
    </row>
    <row r="26" ht="22.5" customHeight="1">
      <c r="A26" s="123"/>
      <c r="B26" s="124"/>
      <c r="C26" s="56"/>
      <c r="D26" s="56"/>
      <c r="E26" s="56"/>
      <c r="F26" s="125"/>
      <c r="H26" s="129"/>
      <c r="I26" s="1">
        <v>5.0</v>
      </c>
      <c r="J26" s="71">
        <f t="shared" ref="J26:L26" si="6">C9-$I$20</f>
        <v>0.241</v>
      </c>
      <c r="K26" s="71">
        <f t="shared" si="6"/>
        <v>0.161</v>
      </c>
      <c r="L26" s="71">
        <f t="shared" si="6"/>
        <v>0.093</v>
      </c>
      <c r="M26" s="72">
        <f t="shared" si="3"/>
        <v>3.608493</v>
      </c>
      <c r="O26" s="80" t="s">
        <v>38</v>
      </c>
      <c r="P26" s="80" t="s">
        <v>44</v>
      </c>
      <c r="Q26" s="80" t="s">
        <v>45</v>
      </c>
      <c r="R26" s="81"/>
      <c r="S26" s="80" t="s">
        <v>44</v>
      </c>
      <c r="T26" s="80" t="s">
        <v>45</v>
      </c>
      <c r="U26" s="82"/>
      <c r="V26" s="80" t="s">
        <v>44</v>
      </c>
      <c r="W26" s="131" t="s">
        <v>45</v>
      </c>
    </row>
    <row r="27" ht="22.5" customHeight="1">
      <c r="A27" s="123"/>
      <c r="B27" s="124"/>
      <c r="C27" s="56"/>
      <c r="D27" s="56"/>
      <c r="E27" s="56"/>
      <c r="F27" s="125"/>
      <c r="H27" s="129"/>
      <c r="I27" s="1">
        <v>6.0</v>
      </c>
      <c r="J27" s="71">
        <f t="shared" ref="J27:L27" si="7">C10-$I$20</f>
        <v>0.242</v>
      </c>
      <c r="K27" s="71">
        <f t="shared" si="7"/>
        <v>0.159</v>
      </c>
      <c r="L27" s="71">
        <f t="shared" si="7"/>
        <v>0.094</v>
      </c>
      <c r="M27" s="72">
        <f t="shared" si="3"/>
        <v>3.616932</v>
      </c>
      <c r="O27" s="1">
        <v>1.0</v>
      </c>
      <c r="P27" s="132">
        <f t="shared" ref="P27:P41" si="9">abs(J22-Q$23)^2</f>
        <v>0.000025</v>
      </c>
      <c r="Q27" s="132">
        <f t="shared" ref="Q27:Q41" si="10">ABS(J22-AVERAGEA(J$22:J$36))^2</f>
        <v>0.00001995111111</v>
      </c>
      <c r="R27" s="133"/>
      <c r="S27" s="132">
        <f t="shared" ref="S27:S41" si="11">abs(K22-S$23)^2</f>
        <v>0.000009</v>
      </c>
      <c r="T27" s="132">
        <f t="shared" ref="T27:T41" si="12">ABS(K22-AVERAGEA(K$22:K$36))^2</f>
        <v>0.00003287111111</v>
      </c>
      <c r="U27" s="83"/>
      <c r="V27" s="83">
        <f t="shared" ref="V27:V41" si="13">abs(L22-V$23)^2</f>
        <v>0.000036</v>
      </c>
      <c r="W27" s="134">
        <f t="shared" ref="W27:W41" si="14">ABS(L22-AVERAGEA(L$22:L$36))^2</f>
        <v>0.000003737777778</v>
      </c>
    </row>
    <row r="28" ht="22.5" customHeight="1">
      <c r="A28" s="123"/>
      <c r="B28" s="124"/>
      <c r="C28" s="56"/>
      <c r="D28" s="56"/>
      <c r="E28" s="56"/>
      <c r="F28" s="125"/>
      <c r="H28" s="129"/>
      <c r="I28" s="1">
        <v>7.0</v>
      </c>
      <c r="J28" s="71">
        <f t="shared" ref="J28:L28" si="8">C11-$I$20</f>
        <v>0.258</v>
      </c>
      <c r="K28" s="71">
        <f t="shared" si="8"/>
        <v>0.163</v>
      </c>
      <c r="L28" s="71">
        <f t="shared" si="8"/>
        <v>0.086</v>
      </c>
      <c r="M28" s="72">
        <f t="shared" si="3"/>
        <v>3.616644</v>
      </c>
      <c r="O28" s="1">
        <v>2.0</v>
      </c>
      <c r="P28" s="135">
        <f t="shared" si="9"/>
        <v>0.000025</v>
      </c>
      <c r="Q28" s="135">
        <f t="shared" si="10"/>
        <v>0.00003061777778</v>
      </c>
      <c r="R28" s="136"/>
      <c r="S28" s="135">
        <f t="shared" si="11"/>
        <v>0.000081</v>
      </c>
      <c r="T28" s="135">
        <f t="shared" si="12"/>
        <v>0.00000007111111111</v>
      </c>
      <c r="U28" s="83"/>
      <c r="V28" s="83">
        <f t="shared" si="13"/>
        <v>0.000025</v>
      </c>
      <c r="W28" s="134">
        <f t="shared" si="14"/>
        <v>0.000008604444444</v>
      </c>
    </row>
    <row r="29" ht="22.5" customHeight="1">
      <c r="A29" s="123"/>
      <c r="B29" s="124"/>
      <c r="C29" s="56"/>
      <c r="D29" s="56"/>
      <c r="E29" s="56"/>
      <c r="F29" s="125"/>
      <c r="H29" s="129"/>
      <c r="I29" s="1">
        <v>8.0</v>
      </c>
      <c r="J29" s="71">
        <f t="shared" ref="J29:L29" si="15">C12-$I$20</f>
        <v>0.25</v>
      </c>
      <c r="K29" s="71">
        <f t="shared" si="15"/>
        <v>0.163</v>
      </c>
      <c r="L29" s="71">
        <f t="shared" si="15"/>
        <v>0.087</v>
      </c>
      <c r="M29" s="72">
        <f t="shared" si="3"/>
        <v>3.54525</v>
      </c>
      <c r="O29" s="1">
        <v>3.0</v>
      </c>
      <c r="P29" s="132">
        <f t="shared" si="9"/>
        <v>0.000064</v>
      </c>
      <c r="Q29" s="132">
        <f t="shared" si="10"/>
        <v>0.00005575111111</v>
      </c>
      <c r="R29" s="133"/>
      <c r="S29" s="132">
        <f t="shared" si="11"/>
        <v>0.000001</v>
      </c>
      <c r="T29" s="132">
        <f t="shared" si="12"/>
        <v>0.00009473777778</v>
      </c>
      <c r="U29" s="83"/>
      <c r="V29" s="83">
        <f t="shared" si="13"/>
        <v>0.000081</v>
      </c>
      <c r="W29" s="134">
        <f t="shared" si="14"/>
        <v>0.000001137777778</v>
      </c>
    </row>
    <row r="30" ht="22.5" customHeight="1">
      <c r="A30" s="123"/>
      <c r="B30" s="124"/>
      <c r="C30" s="56"/>
      <c r="D30" s="56"/>
      <c r="E30" s="56"/>
      <c r="F30" s="125"/>
      <c r="H30" s="129"/>
      <c r="I30" s="1">
        <v>9.0</v>
      </c>
      <c r="J30" s="71">
        <f t="shared" ref="J30:L30" si="16">C13-$I$20</f>
        <v>0.243</v>
      </c>
      <c r="K30" s="71">
        <f t="shared" si="16"/>
        <v>0.155</v>
      </c>
      <c r="L30" s="71">
        <f t="shared" si="16"/>
        <v>0.094</v>
      </c>
      <c r="M30" s="72">
        <f t="shared" si="3"/>
        <v>3.54051</v>
      </c>
      <c r="O30" s="1">
        <v>4.0</v>
      </c>
      <c r="P30" s="137">
        <f t="shared" si="9"/>
        <v>0.000009</v>
      </c>
      <c r="Q30" s="137">
        <f t="shared" si="10"/>
        <v>0.00001248444444</v>
      </c>
      <c r="R30" s="138"/>
      <c r="S30" s="137">
        <f t="shared" si="11"/>
        <v>0.000016</v>
      </c>
      <c r="T30" s="137">
        <f t="shared" si="12"/>
        <v>0.00002240444444</v>
      </c>
      <c r="U30" s="139"/>
      <c r="V30" s="139">
        <f t="shared" si="13"/>
        <v>0.000064</v>
      </c>
      <c r="W30" s="140">
        <f t="shared" si="14"/>
        <v>0.000000004444444444</v>
      </c>
    </row>
    <row r="31" ht="22.5" customHeight="1">
      <c r="A31" s="123"/>
      <c r="B31" s="124"/>
      <c r="C31" s="56"/>
      <c r="D31" s="56"/>
      <c r="E31" s="56"/>
      <c r="F31" s="125"/>
      <c r="H31" s="129"/>
      <c r="I31" s="1">
        <v>10.0</v>
      </c>
      <c r="J31" s="71">
        <f t="shared" ref="J31:L31" si="17">C14-$I$20</f>
        <v>0.248</v>
      </c>
      <c r="K31" s="71">
        <f t="shared" si="17"/>
        <v>0.165</v>
      </c>
      <c r="L31" s="71">
        <f t="shared" si="17"/>
        <v>0.094</v>
      </c>
      <c r="M31" s="72">
        <f t="shared" si="3"/>
        <v>3.84648</v>
      </c>
      <c r="O31" s="1">
        <v>5.0</v>
      </c>
      <c r="P31" s="141">
        <f t="shared" si="9"/>
        <v>0.000081</v>
      </c>
      <c r="Q31" s="141">
        <f t="shared" si="10"/>
        <v>0.00007168444444</v>
      </c>
      <c r="R31" s="142"/>
      <c r="S31" s="141">
        <f t="shared" si="11"/>
        <v>0.000121</v>
      </c>
      <c r="T31" s="141">
        <f t="shared" si="12"/>
        <v>0.000005137777778</v>
      </c>
      <c r="U31" s="139"/>
      <c r="V31" s="139">
        <f t="shared" si="13"/>
        <v>0.000049</v>
      </c>
      <c r="W31" s="140">
        <f t="shared" si="14"/>
        <v>0.0000008711111111</v>
      </c>
    </row>
    <row r="32" ht="22.5" customHeight="1">
      <c r="A32" s="123"/>
      <c r="B32" s="124"/>
      <c r="C32" s="56"/>
      <c r="D32" s="56"/>
      <c r="E32" s="56"/>
      <c r="F32" s="125"/>
      <c r="H32" s="129"/>
      <c r="I32" s="1">
        <v>11.0</v>
      </c>
      <c r="J32" s="71">
        <f t="shared" ref="J32:L32" si="18">C15-$I$20</f>
        <v>0.253</v>
      </c>
      <c r="K32" s="71">
        <f t="shared" si="18"/>
        <v>0.163</v>
      </c>
      <c r="L32" s="71">
        <f t="shared" si="18"/>
        <v>0.092</v>
      </c>
      <c r="M32" s="72">
        <f t="shared" si="3"/>
        <v>3.793988</v>
      </c>
      <c r="O32" s="1">
        <v>6.0</v>
      </c>
      <c r="P32" s="137">
        <f t="shared" si="9"/>
        <v>0.000064</v>
      </c>
      <c r="Q32" s="137">
        <f t="shared" si="10"/>
        <v>0.00005575111111</v>
      </c>
      <c r="R32" s="138"/>
      <c r="S32" s="137">
        <f t="shared" si="11"/>
        <v>0.000081</v>
      </c>
      <c r="T32" s="137">
        <f t="shared" si="12"/>
        <v>0.00000007111111111</v>
      </c>
      <c r="U32" s="139"/>
      <c r="V32" s="139">
        <f t="shared" si="13"/>
        <v>0.000036</v>
      </c>
      <c r="W32" s="140">
        <f t="shared" si="14"/>
        <v>0.000003737777778</v>
      </c>
    </row>
    <row r="33" ht="22.5" customHeight="1">
      <c r="A33" s="123"/>
      <c r="B33" s="124"/>
      <c r="C33" s="56"/>
      <c r="D33" s="56"/>
      <c r="E33" s="56"/>
      <c r="F33" s="125"/>
      <c r="H33" s="129"/>
      <c r="I33" s="1">
        <v>12.0</v>
      </c>
      <c r="J33" s="71">
        <f t="shared" ref="J33:L33" si="19">C16-$I$20</f>
        <v>0.259</v>
      </c>
      <c r="K33" s="71">
        <f t="shared" si="19"/>
        <v>0.164</v>
      </c>
      <c r="L33" s="71">
        <f t="shared" si="19"/>
        <v>0.092</v>
      </c>
      <c r="M33" s="72">
        <f t="shared" si="3"/>
        <v>3.907792</v>
      </c>
      <c r="O33" s="1">
        <v>7.0</v>
      </c>
      <c r="P33" s="141">
        <f t="shared" si="9"/>
        <v>0.000064</v>
      </c>
      <c r="Q33" s="141">
        <f t="shared" si="10"/>
        <v>0.00007281777778</v>
      </c>
      <c r="R33" s="142"/>
      <c r="S33" s="141">
        <f t="shared" si="11"/>
        <v>0.000169</v>
      </c>
      <c r="T33" s="141">
        <f t="shared" si="12"/>
        <v>0.00001820444444</v>
      </c>
      <c r="U33" s="139"/>
      <c r="V33" s="139">
        <f t="shared" si="13"/>
        <v>0.000196</v>
      </c>
      <c r="W33" s="140">
        <f t="shared" si="14"/>
        <v>0.00003680444444</v>
      </c>
    </row>
    <row r="34" ht="22.5" customHeight="1">
      <c r="A34" s="123"/>
      <c r="B34" s="124"/>
      <c r="C34" s="56"/>
      <c r="D34" s="56"/>
      <c r="E34" s="56"/>
      <c r="F34" s="125"/>
      <c r="H34" s="129"/>
      <c r="I34" s="1">
        <v>13.0</v>
      </c>
      <c r="J34" s="71">
        <f t="shared" ref="J34:L34" si="20">C17-$I$20</f>
        <v>0.254</v>
      </c>
      <c r="K34" s="71">
        <f t="shared" si="20"/>
        <v>0.156</v>
      </c>
      <c r="L34" s="71">
        <f t="shared" si="20"/>
        <v>0.092</v>
      </c>
      <c r="M34" s="72">
        <f t="shared" si="3"/>
        <v>3.645408</v>
      </c>
      <c r="O34" s="1">
        <v>8.0</v>
      </c>
      <c r="P34" s="137">
        <f t="shared" si="9"/>
        <v>0</v>
      </c>
      <c r="Q34" s="137">
        <f t="shared" si="10"/>
        <v>0.0000002844444444</v>
      </c>
      <c r="R34" s="138"/>
      <c r="S34" s="137">
        <f t="shared" si="11"/>
        <v>0.000169</v>
      </c>
      <c r="T34" s="137">
        <f t="shared" si="12"/>
        <v>0.00001820444444</v>
      </c>
      <c r="U34" s="139"/>
      <c r="V34" s="139">
        <f t="shared" si="13"/>
        <v>0.000169</v>
      </c>
      <c r="W34" s="140">
        <f t="shared" si="14"/>
        <v>0.00002567111111</v>
      </c>
    </row>
    <row r="35" ht="22.5" customHeight="1">
      <c r="A35" s="123"/>
      <c r="B35" s="124"/>
      <c r="C35" s="56"/>
      <c r="D35" s="56"/>
      <c r="E35" s="56"/>
      <c r="F35" s="125"/>
      <c r="H35" s="129"/>
      <c r="I35" s="1">
        <v>14.0</v>
      </c>
      <c r="J35" s="71">
        <f t="shared" ref="J35:L35" si="21">C18-$I$20</f>
        <v>0.25</v>
      </c>
      <c r="K35" s="71">
        <f t="shared" si="21"/>
        <v>0.162</v>
      </c>
      <c r="L35" s="71">
        <f t="shared" si="21"/>
        <v>0.093</v>
      </c>
      <c r="M35" s="72">
        <f t="shared" si="3"/>
        <v>3.7665</v>
      </c>
      <c r="O35" s="1">
        <v>9.0</v>
      </c>
      <c r="P35" s="141">
        <f t="shared" si="9"/>
        <v>0.000049</v>
      </c>
      <c r="Q35" s="141">
        <f t="shared" si="10"/>
        <v>0.00004181777778</v>
      </c>
      <c r="R35" s="142"/>
      <c r="S35" s="141">
        <f t="shared" si="11"/>
        <v>0.000025</v>
      </c>
      <c r="T35" s="141">
        <f t="shared" si="12"/>
        <v>0.00001393777778</v>
      </c>
      <c r="U35" s="139"/>
      <c r="V35" s="139">
        <f t="shared" si="13"/>
        <v>0.000036</v>
      </c>
      <c r="W35" s="140">
        <f t="shared" si="14"/>
        <v>0.000003737777778</v>
      </c>
    </row>
    <row r="36" ht="22.5" customHeight="1">
      <c r="A36" s="123"/>
      <c r="B36" s="124"/>
      <c r="C36" s="56"/>
      <c r="D36" s="56"/>
      <c r="E36" s="56"/>
      <c r="F36" s="125"/>
      <c r="H36" s="129"/>
      <c r="I36" s="1">
        <v>15.0</v>
      </c>
      <c r="J36" s="71">
        <f t="shared" ref="J36:L36" si="22">C19-$I$20</f>
        <v>0.249</v>
      </c>
      <c r="K36" s="71">
        <f t="shared" si="22"/>
        <v>0.155</v>
      </c>
      <c r="L36" s="71">
        <f t="shared" si="22"/>
        <v>0.092</v>
      </c>
      <c r="M36" s="72">
        <f t="shared" si="3"/>
        <v>3.55074</v>
      </c>
      <c r="O36" s="1">
        <v>10.0</v>
      </c>
      <c r="P36" s="137">
        <f t="shared" si="9"/>
        <v>0.000004</v>
      </c>
      <c r="Q36" s="137">
        <f t="shared" si="10"/>
        <v>0.000002151111111</v>
      </c>
      <c r="R36" s="138"/>
      <c r="S36" s="137">
        <f t="shared" si="11"/>
        <v>0.000225</v>
      </c>
      <c r="T36" s="137">
        <f t="shared" si="12"/>
        <v>0.00003927111111</v>
      </c>
      <c r="U36" s="139"/>
      <c r="V36" s="139">
        <f t="shared" si="13"/>
        <v>0.000036</v>
      </c>
      <c r="W36" s="140">
        <f t="shared" si="14"/>
        <v>0.000003737777778</v>
      </c>
    </row>
    <row r="37" ht="22.5" customHeight="1">
      <c r="A37" s="123"/>
      <c r="B37" s="124"/>
      <c r="C37" s="56"/>
      <c r="D37" s="56"/>
      <c r="E37" s="56"/>
      <c r="F37" s="125"/>
      <c r="H37" s="90"/>
      <c r="J37" s="143"/>
      <c r="K37" s="143"/>
      <c r="L37" s="143"/>
      <c r="M37" s="144"/>
      <c r="O37" s="1">
        <v>11.0</v>
      </c>
      <c r="P37" s="141">
        <f t="shared" si="9"/>
        <v>0.000009</v>
      </c>
      <c r="Q37" s="141">
        <f t="shared" si="10"/>
        <v>0.00001248444444</v>
      </c>
      <c r="R37" s="142"/>
      <c r="S37" s="141">
        <f t="shared" si="11"/>
        <v>0.000169</v>
      </c>
      <c r="T37" s="141">
        <f t="shared" si="12"/>
        <v>0.00001820444444</v>
      </c>
      <c r="U37" s="139"/>
      <c r="V37" s="139">
        <f t="shared" si="13"/>
        <v>0.000064</v>
      </c>
      <c r="W37" s="140">
        <f t="shared" si="14"/>
        <v>0.000000004444444444</v>
      </c>
    </row>
    <row r="38" ht="22.5" customHeight="1">
      <c r="A38" s="145"/>
      <c r="B38" s="146"/>
      <c r="C38" s="147"/>
      <c r="D38" s="147"/>
      <c r="E38" s="147"/>
      <c r="F38" s="148"/>
      <c r="H38" s="90"/>
      <c r="O38" s="1">
        <v>12.0</v>
      </c>
      <c r="P38" s="137">
        <f t="shared" si="9"/>
        <v>0.000081</v>
      </c>
      <c r="Q38" s="137">
        <f t="shared" si="10"/>
        <v>0.00009088444444</v>
      </c>
      <c r="R38" s="138"/>
      <c r="S38" s="137">
        <f t="shared" si="11"/>
        <v>0.000196</v>
      </c>
      <c r="T38" s="137">
        <f t="shared" si="12"/>
        <v>0.00002773777778</v>
      </c>
      <c r="U38" s="139"/>
      <c r="V38" s="139">
        <f t="shared" si="13"/>
        <v>0.000064</v>
      </c>
      <c r="W38" s="140">
        <f t="shared" si="14"/>
        <v>0.000000004444444444</v>
      </c>
    </row>
    <row r="39">
      <c r="A39" s="90"/>
      <c r="F39" s="68"/>
      <c r="H39" s="90"/>
      <c r="O39" s="1">
        <v>13.0</v>
      </c>
      <c r="P39" s="141">
        <f t="shared" si="9"/>
        <v>0.000016</v>
      </c>
      <c r="Q39" s="141">
        <f t="shared" si="10"/>
        <v>0.00002055111111</v>
      </c>
      <c r="R39" s="142"/>
      <c r="S39" s="141">
        <f t="shared" si="11"/>
        <v>0.000036</v>
      </c>
      <c r="T39" s="141">
        <f t="shared" si="12"/>
        <v>0.000007471111111</v>
      </c>
      <c r="U39" s="139"/>
      <c r="V39" s="139">
        <f t="shared" si="13"/>
        <v>0.000064</v>
      </c>
      <c r="W39" s="140">
        <f t="shared" si="14"/>
        <v>0.000000004444444444</v>
      </c>
    </row>
    <row r="40">
      <c r="A40" s="129"/>
      <c r="B40" s="9"/>
      <c r="C40" s="95" t="s">
        <v>69</v>
      </c>
      <c r="D40" s="149">
        <v>3.75</v>
      </c>
      <c r="F40" s="68"/>
      <c r="H40" s="90"/>
      <c r="O40" s="1">
        <v>14.0</v>
      </c>
      <c r="P40" s="137">
        <f t="shared" si="9"/>
        <v>0</v>
      </c>
      <c r="Q40" s="137">
        <f t="shared" si="10"/>
        <v>0.0000002844444444</v>
      </c>
      <c r="R40" s="138"/>
      <c r="S40" s="137">
        <f t="shared" si="11"/>
        <v>0.000144</v>
      </c>
      <c r="T40" s="137">
        <f t="shared" si="12"/>
        <v>0.00001067111111</v>
      </c>
      <c r="U40" s="139"/>
      <c r="V40" s="139">
        <f t="shared" si="13"/>
        <v>0.000049</v>
      </c>
      <c r="W40" s="140">
        <f t="shared" si="14"/>
        <v>0.0000008711111111</v>
      </c>
    </row>
    <row r="41">
      <c r="A41" s="93"/>
      <c r="B41" s="94"/>
      <c r="C41" s="94"/>
      <c r="D41" s="94"/>
      <c r="F41" s="68"/>
      <c r="H41" s="90"/>
      <c r="O41" s="1">
        <v>15.0</v>
      </c>
      <c r="P41" s="141">
        <f t="shared" si="9"/>
        <v>0.000001</v>
      </c>
      <c r="Q41" s="141">
        <f t="shared" si="10"/>
        <v>0.0000002177777778</v>
      </c>
      <c r="R41" s="142"/>
      <c r="S41" s="141">
        <f t="shared" si="11"/>
        <v>0.000025</v>
      </c>
      <c r="T41" s="141">
        <f t="shared" si="12"/>
        <v>0.00001393777778</v>
      </c>
      <c r="U41" s="139"/>
      <c r="V41" s="139">
        <f t="shared" si="13"/>
        <v>0.000064</v>
      </c>
      <c r="W41" s="140">
        <f t="shared" si="14"/>
        <v>0.000000004444444444</v>
      </c>
    </row>
    <row r="42" ht="22.5" customHeight="1">
      <c r="A42" s="96" t="s">
        <v>50</v>
      </c>
      <c r="B42" s="6" t="s">
        <v>70</v>
      </c>
      <c r="C42" s="6" t="s">
        <v>51</v>
      </c>
      <c r="D42" s="19" t="s">
        <v>71</v>
      </c>
      <c r="E42" s="19" t="s">
        <v>15</v>
      </c>
      <c r="F42" s="97" t="s">
        <v>16</v>
      </c>
      <c r="H42" s="90"/>
      <c r="O42" s="85" t="s">
        <v>46</v>
      </c>
      <c r="P42" s="150">
        <f t="shared" ref="P42:Q42" si="23">SUM(P27:P41)</f>
        <v>0.000492</v>
      </c>
      <c r="Q42" s="150">
        <f t="shared" si="23"/>
        <v>0.0004877333333</v>
      </c>
      <c r="R42" s="151"/>
      <c r="S42" s="150">
        <f t="shared" ref="S42:T42" si="24">SUM(S27:S41)</f>
        <v>0.001467</v>
      </c>
      <c r="T42" s="150">
        <f t="shared" si="24"/>
        <v>0.0003229333333</v>
      </c>
      <c r="U42" s="150"/>
      <c r="V42" s="150">
        <f t="shared" ref="V42:W42" si="25">SUM(V27:V41)</f>
        <v>0.001033</v>
      </c>
      <c r="W42" s="152">
        <f t="shared" si="25"/>
        <v>0.00008893333333</v>
      </c>
    </row>
    <row r="43" ht="22.5" customHeight="1">
      <c r="A43" s="153" t="s">
        <v>57</v>
      </c>
      <c r="B43" s="154"/>
      <c r="C43" s="155">
        <f t="shared" ref="C43:C57" si="29">F5</f>
        <v>3.89</v>
      </c>
      <c r="D43" s="101">
        <f t="shared" ref="D43:D57" si="30">abs(C43-D$40)^2</f>
        <v>0.0196</v>
      </c>
      <c r="E43" s="156">
        <f t="shared" ref="E43:E57" si="31">(C43-C$58)^2</f>
        <v>0.0259440051</v>
      </c>
      <c r="F43" s="157">
        <f t="shared" ref="F43:F57" si="32">B5</f>
        <v>0.21</v>
      </c>
      <c r="H43" s="90"/>
      <c r="J43" s="91" t="s">
        <v>48</v>
      </c>
      <c r="K43" s="158">
        <v>3.75</v>
      </c>
      <c r="O43" s="85" t="s">
        <v>47</v>
      </c>
      <c r="P43" s="150">
        <f t="shared" ref="P43:Q43" si="26">P42/15</f>
        <v>0.0000328</v>
      </c>
      <c r="Q43" s="150">
        <f t="shared" si="26"/>
        <v>0.00003251555556</v>
      </c>
      <c r="R43" s="151"/>
      <c r="S43" s="150">
        <f t="shared" ref="S43:T43" si="27">S42/15</f>
        <v>0.0000978</v>
      </c>
      <c r="T43" s="150">
        <f t="shared" si="27"/>
        <v>0.00002152888889</v>
      </c>
      <c r="U43" s="150"/>
      <c r="V43" s="150">
        <f t="shared" ref="V43:W43" si="28">V42/15</f>
        <v>0.00006886666667</v>
      </c>
      <c r="W43" s="152">
        <f t="shared" si="28"/>
        <v>0.000005928888889</v>
      </c>
    </row>
    <row r="44" ht="22.5" customHeight="1">
      <c r="A44" s="153" t="s">
        <v>58</v>
      </c>
      <c r="B44" s="154"/>
      <c r="C44" s="155">
        <f t="shared" si="29"/>
        <v>4.248</v>
      </c>
      <c r="D44" s="101">
        <f t="shared" si="30"/>
        <v>0.248004</v>
      </c>
      <c r="E44" s="156">
        <f t="shared" si="31"/>
        <v>0.03878086224</v>
      </c>
      <c r="F44" s="157">
        <f t="shared" si="32"/>
        <v>0.22</v>
      </c>
      <c r="H44" s="90"/>
      <c r="W44" s="68"/>
    </row>
    <row r="45" ht="22.5" customHeight="1">
      <c r="A45" s="153" t="s">
        <v>59</v>
      </c>
      <c r="B45" s="154"/>
      <c r="C45" s="155">
        <f t="shared" si="29"/>
        <v>3.65</v>
      </c>
      <c r="D45" s="101">
        <f t="shared" si="30"/>
        <v>0.01</v>
      </c>
      <c r="E45" s="156">
        <f t="shared" si="31"/>
        <v>0.1608582908</v>
      </c>
      <c r="F45" s="157">
        <f t="shared" si="32"/>
        <v>0.11</v>
      </c>
      <c r="H45" s="90"/>
      <c r="I45" s="127" t="s">
        <v>38</v>
      </c>
      <c r="J45" s="6" t="s">
        <v>51</v>
      </c>
      <c r="K45" s="19" t="s">
        <v>72</v>
      </c>
      <c r="L45" s="19" t="s">
        <v>53</v>
      </c>
      <c r="M45" s="6" t="s">
        <v>16</v>
      </c>
      <c r="N45" s="6" t="s">
        <v>56</v>
      </c>
      <c r="W45" s="68"/>
    </row>
    <row r="46" ht="22.5" customHeight="1">
      <c r="A46" s="153" t="s">
        <v>60</v>
      </c>
      <c r="B46" s="154"/>
      <c r="C46" s="155">
        <f t="shared" si="29"/>
        <v>4</v>
      </c>
      <c r="D46" s="101">
        <f t="shared" si="30"/>
        <v>0.0625</v>
      </c>
      <c r="E46" s="156">
        <f t="shared" si="31"/>
        <v>0.002608290816</v>
      </c>
      <c r="F46" s="157">
        <f t="shared" si="32"/>
        <v>0.22</v>
      </c>
      <c r="H46" s="90"/>
      <c r="I46" s="127">
        <v>1.0</v>
      </c>
      <c r="J46" s="100">
        <f t="shared" ref="J46:J60" si="33">M22</f>
        <v>3.52359</v>
      </c>
      <c r="K46" s="105">
        <f t="shared" ref="K46:K60" si="34">abs(J46-K$43)^2</f>
        <v>0.0512614881</v>
      </c>
      <c r="L46" s="105">
        <f t="shared" ref="L46:L60" si="35">ABS(J46-J$61/15)^2</f>
        <v>0.01481955631</v>
      </c>
      <c r="M46" s="100">
        <f t="shared" ref="M46:M60" si="36">B5</f>
        <v>0.21</v>
      </c>
      <c r="N46" s="106">
        <f t="shared" ref="N46:N60" si="37">ABS(K$43-J46)/K$43</f>
        <v>0.060376</v>
      </c>
      <c r="W46" s="68"/>
    </row>
    <row r="47" ht="22.5" customHeight="1">
      <c r="A47" s="153" t="s">
        <v>61</v>
      </c>
      <c r="B47" s="154"/>
      <c r="C47" s="155">
        <f t="shared" si="29"/>
        <v>3.983</v>
      </c>
      <c r="D47" s="101">
        <f t="shared" si="30"/>
        <v>0.054289</v>
      </c>
      <c r="E47" s="156">
        <f t="shared" si="31"/>
        <v>0.004633719388</v>
      </c>
      <c r="F47" s="157">
        <f t="shared" si="32"/>
        <v>0.1</v>
      </c>
      <c r="H47" s="90"/>
      <c r="I47" s="127">
        <v>2.0</v>
      </c>
      <c r="J47" s="100">
        <f t="shared" si="33"/>
        <v>3.851775</v>
      </c>
      <c r="K47" s="105">
        <f t="shared" si="34"/>
        <v>0.01035815063</v>
      </c>
      <c r="L47" s="105">
        <f t="shared" si="35"/>
        <v>0.04262135476</v>
      </c>
      <c r="M47" s="100">
        <f t="shared" si="36"/>
        <v>0.22</v>
      </c>
      <c r="N47" s="106">
        <f t="shared" si="37"/>
        <v>0.02714</v>
      </c>
      <c r="W47" s="68"/>
    </row>
    <row r="48" ht="22.5" customHeight="1">
      <c r="A48" s="153" t="s">
        <v>62</v>
      </c>
      <c r="B48" s="154"/>
      <c r="C48" s="155">
        <f t="shared" si="29"/>
        <v>3.992</v>
      </c>
      <c r="D48" s="101">
        <f t="shared" si="30"/>
        <v>0.058564</v>
      </c>
      <c r="E48" s="156">
        <f t="shared" si="31"/>
        <v>0.003489433673</v>
      </c>
      <c r="F48" s="157">
        <f t="shared" si="32"/>
        <v>0.14</v>
      </c>
      <c r="H48" s="90"/>
      <c r="I48" s="127">
        <v>3.0</v>
      </c>
      <c r="J48" s="100">
        <f t="shared" si="33"/>
        <v>3.281278</v>
      </c>
      <c r="K48" s="105">
        <f t="shared" si="34"/>
        <v>0.2197003133</v>
      </c>
      <c r="L48" s="105">
        <f t="shared" si="35"/>
        <v>0.1325306551</v>
      </c>
      <c r="M48" s="100">
        <f t="shared" si="36"/>
        <v>0.11</v>
      </c>
      <c r="N48" s="106">
        <f t="shared" si="37"/>
        <v>0.1249925333</v>
      </c>
      <c r="W48" s="68"/>
    </row>
    <row r="49" ht="22.5" customHeight="1">
      <c r="A49" s="153" t="s">
        <v>63</v>
      </c>
      <c r="B49" s="154"/>
      <c r="C49" s="155">
        <f t="shared" si="29"/>
        <v>4.012</v>
      </c>
      <c r="D49" s="101">
        <f t="shared" si="30"/>
        <v>0.068644</v>
      </c>
      <c r="E49" s="156">
        <f t="shared" si="31"/>
        <v>0.001526576531</v>
      </c>
      <c r="F49" s="157">
        <f t="shared" si="32"/>
        <v>0.18</v>
      </c>
      <c r="H49" s="90"/>
      <c r="I49" s="127">
        <v>4.0</v>
      </c>
      <c r="J49" s="100">
        <f t="shared" si="33"/>
        <v>3.584504</v>
      </c>
      <c r="K49" s="105">
        <f t="shared" si="34"/>
        <v>0.02738892602</v>
      </c>
      <c r="L49" s="105">
        <f t="shared" si="35"/>
        <v>0.003699267027</v>
      </c>
      <c r="M49" s="100">
        <f t="shared" si="36"/>
        <v>0.22</v>
      </c>
      <c r="N49" s="106">
        <f t="shared" si="37"/>
        <v>0.04413226667</v>
      </c>
      <c r="W49" s="68"/>
    </row>
    <row r="50" ht="22.5" customHeight="1">
      <c r="A50" s="153" t="s">
        <v>64</v>
      </c>
      <c r="B50" s="154"/>
      <c r="C50" s="155">
        <f t="shared" si="29"/>
        <v>3.959</v>
      </c>
      <c r="D50" s="101">
        <f t="shared" si="30"/>
        <v>0.043681</v>
      </c>
      <c r="E50" s="156">
        <f t="shared" si="31"/>
        <v>0.008477147959</v>
      </c>
      <c r="F50" s="157">
        <f t="shared" si="32"/>
        <v>0.16</v>
      </c>
      <c r="H50" s="90"/>
      <c r="I50" s="127">
        <v>5.0</v>
      </c>
      <c r="J50" s="100">
        <f t="shared" si="33"/>
        <v>3.608493</v>
      </c>
      <c r="K50" s="105">
        <f t="shared" si="34"/>
        <v>0.02002423105</v>
      </c>
      <c r="L50" s="105">
        <f t="shared" si="35"/>
        <v>0.001356640423</v>
      </c>
      <c r="M50" s="100">
        <f t="shared" si="36"/>
        <v>0.1</v>
      </c>
      <c r="N50" s="106">
        <f t="shared" si="37"/>
        <v>0.0377352</v>
      </c>
      <c r="W50" s="68"/>
    </row>
    <row r="51" ht="22.5" customHeight="1">
      <c r="A51" s="153" t="s">
        <v>65</v>
      </c>
      <c r="B51" s="154"/>
      <c r="C51" s="155">
        <f t="shared" si="29"/>
        <v>3.922</v>
      </c>
      <c r="D51" s="101">
        <f t="shared" si="30"/>
        <v>0.029584</v>
      </c>
      <c r="E51" s="156">
        <f t="shared" si="31"/>
        <v>0.01665943367</v>
      </c>
      <c r="F51" s="157">
        <f t="shared" si="32"/>
        <v>0.29</v>
      </c>
      <c r="H51" s="90"/>
      <c r="I51" s="127">
        <v>6.0</v>
      </c>
      <c r="J51" s="100">
        <f t="shared" si="33"/>
        <v>3.616932</v>
      </c>
      <c r="K51" s="105">
        <f t="shared" si="34"/>
        <v>0.01770709262</v>
      </c>
      <c r="L51" s="105">
        <f t="shared" si="35"/>
        <v>0.000806196521</v>
      </c>
      <c r="M51" s="100">
        <f t="shared" si="36"/>
        <v>0.14</v>
      </c>
      <c r="N51" s="106">
        <f t="shared" si="37"/>
        <v>0.0354848</v>
      </c>
      <c r="W51" s="68"/>
    </row>
    <row r="52" ht="22.5" customHeight="1">
      <c r="A52" s="153" t="s">
        <v>66</v>
      </c>
      <c r="B52" s="154"/>
      <c r="C52" s="155">
        <f t="shared" si="29"/>
        <v>4.257</v>
      </c>
      <c r="D52" s="101">
        <f t="shared" si="30"/>
        <v>0.257049</v>
      </c>
      <c r="E52" s="156">
        <f t="shared" si="31"/>
        <v>0.04240657653</v>
      </c>
      <c r="F52" s="157">
        <f t="shared" si="32"/>
        <v>0.17</v>
      </c>
      <c r="H52" s="90"/>
      <c r="I52" s="127">
        <v>7.0</v>
      </c>
      <c r="J52" s="100">
        <f t="shared" si="33"/>
        <v>3.616644</v>
      </c>
      <c r="K52" s="105">
        <f t="shared" si="34"/>
        <v>0.01778382274</v>
      </c>
      <c r="L52" s="105">
        <f t="shared" si="35"/>
        <v>0.0008226341786</v>
      </c>
      <c r="M52" s="100">
        <f t="shared" si="36"/>
        <v>0.18</v>
      </c>
      <c r="N52" s="106">
        <f t="shared" si="37"/>
        <v>0.0355616</v>
      </c>
      <c r="W52" s="68"/>
    </row>
    <row r="53" ht="22.5" customHeight="1">
      <c r="A53" s="153" t="s">
        <v>73</v>
      </c>
      <c r="B53" s="154"/>
      <c r="C53" s="155">
        <f t="shared" si="29"/>
        <v>4.199</v>
      </c>
      <c r="D53" s="101">
        <f t="shared" si="30"/>
        <v>0.201601</v>
      </c>
      <c r="E53" s="156">
        <f t="shared" si="31"/>
        <v>0.02188286224</v>
      </c>
      <c r="F53" s="157">
        <f t="shared" si="32"/>
        <v>0.2</v>
      </c>
      <c r="H53" s="90"/>
      <c r="I53" s="127">
        <v>8.0</v>
      </c>
      <c r="J53" s="100">
        <f t="shared" si="33"/>
        <v>3.54525</v>
      </c>
      <c r="K53" s="105">
        <f t="shared" si="34"/>
        <v>0.0419225625</v>
      </c>
      <c r="L53" s="105">
        <f t="shared" si="35"/>
        <v>0.01001512572</v>
      </c>
      <c r="M53" s="100">
        <f t="shared" si="36"/>
        <v>0.16</v>
      </c>
      <c r="N53" s="106">
        <f t="shared" si="37"/>
        <v>0.0546</v>
      </c>
      <c r="W53" s="68"/>
    </row>
    <row r="54" ht="22.5" customHeight="1">
      <c r="A54" s="153" t="s">
        <v>74</v>
      </c>
      <c r="B54" s="154"/>
      <c r="C54" s="155">
        <f t="shared" si="29"/>
        <v>4.346</v>
      </c>
      <c r="D54" s="101">
        <f t="shared" si="30"/>
        <v>0.355216</v>
      </c>
      <c r="E54" s="156">
        <f t="shared" si="31"/>
        <v>0.08698286224</v>
      </c>
      <c r="F54" s="157">
        <f t="shared" si="32"/>
        <v>0.2</v>
      </c>
      <c r="H54" s="90"/>
      <c r="I54" s="127">
        <v>9.0</v>
      </c>
      <c r="J54" s="100">
        <f t="shared" si="33"/>
        <v>3.54051</v>
      </c>
      <c r="K54" s="105">
        <f t="shared" si="34"/>
        <v>0.0438860601</v>
      </c>
      <c r="L54" s="105">
        <f t="shared" si="35"/>
        <v>0.01098631</v>
      </c>
      <c r="M54" s="100">
        <f t="shared" si="36"/>
        <v>0.29</v>
      </c>
      <c r="N54" s="106">
        <f t="shared" si="37"/>
        <v>0.055864</v>
      </c>
      <c r="W54" s="68"/>
    </row>
    <row r="55" ht="22.5" customHeight="1">
      <c r="A55" s="153" t="s">
        <v>75</v>
      </c>
      <c r="B55" s="154"/>
      <c r="C55" s="155">
        <f t="shared" si="29"/>
        <v>4.037</v>
      </c>
      <c r="D55" s="101">
        <f t="shared" si="30"/>
        <v>0.082369</v>
      </c>
      <c r="E55" s="156">
        <f t="shared" si="31"/>
        <v>0.000198005102</v>
      </c>
      <c r="F55" s="157">
        <f t="shared" si="32"/>
        <v>0.17</v>
      </c>
      <c r="H55" s="90"/>
      <c r="I55" s="127">
        <v>10.0</v>
      </c>
      <c r="J55" s="100">
        <f t="shared" si="33"/>
        <v>3.84648</v>
      </c>
      <c r="K55" s="105">
        <f t="shared" si="34"/>
        <v>0.0093083904</v>
      </c>
      <c r="L55" s="105">
        <f t="shared" si="35"/>
        <v>0.04046309264</v>
      </c>
      <c r="M55" s="100">
        <f t="shared" si="36"/>
        <v>0.17</v>
      </c>
      <c r="N55" s="106">
        <f t="shared" si="37"/>
        <v>0.025728</v>
      </c>
      <c r="W55" s="68"/>
    </row>
    <row r="56" ht="22.5" customHeight="1">
      <c r="A56" s="153" t="s">
        <v>76</v>
      </c>
      <c r="B56" s="154"/>
      <c r="C56" s="155">
        <f t="shared" si="29"/>
        <v>4.178</v>
      </c>
      <c r="D56" s="101">
        <f t="shared" si="30"/>
        <v>0.183184</v>
      </c>
      <c r="E56" s="156">
        <f t="shared" si="31"/>
        <v>0.01611086224</v>
      </c>
      <c r="F56" s="157">
        <f t="shared" si="32"/>
        <v>0.19</v>
      </c>
      <c r="H56" s="90"/>
      <c r="I56" s="127">
        <v>11.0</v>
      </c>
      <c r="J56" s="100">
        <f t="shared" si="33"/>
        <v>3.793988</v>
      </c>
      <c r="K56" s="105">
        <f t="shared" si="34"/>
        <v>0.001934944144</v>
      </c>
      <c r="L56" s="105">
        <f t="shared" si="35"/>
        <v>0.02210050917</v>
      </c>
      <c r="M56" s="100">
        <f t="shared" si="36"/>
        <v>0.2</v>
      </c>
      <c r="N56" s="106">
        <f t="shared" si="37"/>
        <v>0.01173013333</v>
      </c>
      <c r="W56" s="68"/>
    </row>
    <row r="57" ht="22.5" customHeight="1">
      <c r="A57" s="153" t="s">
        <v>77</v>
      </c>
      <c r="B57" s="154"/>
      <c r="C57" s="155">
        <f t="shared" si="29"/>
        <v>3.932</v>
      </c>
      <c r="D57" s="101">
        <f t="shared" si="30"/>
        <v>0.033124</v>
      </c>
      <c r="E57" s="156">
        <f t="shared" si="31"/>
        <v>0.0141780051</v>
      </c>
      <c r="F57" s="157">
        <f t="shared" si="32"/>
        <v>0.16</v>
      </c>
      <c r="H57" s="90"/>
      <c r="I57" s="127">
        <v>12.0</v>
      </c>
      <c r="J57" s="100">
        <f t="shared" si="33"/>
        <v>3.907792</v>
      </c>
      <c r="K57" s="105">
        <f t="shared" si="34"/>
        <v>0.02489831526</v>
      </c>
      <c r="L57" s="105">
        <f t="shared" si="35"/>
        <v>0.06888861113</v>
      </c>
      <c r="M57" s="100">
        <f t="shared" si="36"/>
        <v>0.2</v>
      </c>
      <c r="N57" s="106">
        <f t="shared" si="37"/>
        <v>0.04207786667</v>
      </c>
      <c r="W57" s="68"/>
    </row>
    <row r="58" ht="22.5" customHeight="1">
      <c r="A58" s="159" t="s">
        <v>67</v>
      </c>
      <c r="B58" s="160"/>
      <c r="C58" s="161">
        <f>AVERAGEA(C44:C57)</f>
        <v>4.051071429</v>
      </c>
      <c r="D58" s="162">
        <f t="shared" ref="D58:E58" si="38">SQRT(AVERAGE(D43:D57))</f>
        <v>0.3373829674</v>
      </c>
      <c r="E58" s="163">
        <f t="shared" si="38"/>
        <v>0.1721892241</v>
      </c>
      <c r="F58" s="164">
        <f>AVERAGE(F43:F57)</f>
        <v>0.1813333333</v>
      </c>
      <c r="H58" s="90"/>
      <c r="I58" s="127">
        <v>13.0</v>
      </c>
      <c r="J58" s="100">
        <f t="shared" si="33"/>
        <v>3.645408</v>
      </c>
      <c r="K58" s="105">
        <f t="shared" si="34"/>
        <v>0.01093948646</v>
      </c>
      <c r="L58" s="105">
        <f t="shared" si="35"/>
        <v>0.00000000678976</v>
      </c>
      <c r="M58" s="100">
        <f t="shared" si="36"/>
        <v>0.17</v>
      </c>
      <c r="N58" s="106">
        <f t="shared" si="37"/>
        <v>0.0278912</v>
      </c>
      <c r="W58" s="68"/>
    </row>
    <row r="59" ht="22.5" customHeight="1">
      <c r="H59" s="90"/>
      <c r="I59" s="127">
        <v>14.0</v>
      </c>
      <c r="J59" s="100">
        <f t="shared" si="33"/>
        <v>3.7665</v>
      </c>
      <c r="K59" s="105">
        <f t="shared" si="34"/>
        <v>0.00027225</v>
      </c>
      <c r="L59" s="105">
        <f t="shared" si="35"/>
        <v>0.01468323522</v>
      </c>
      <c r="M59" s="100">
        <f t="shared" si="36"/>
        <v>0.19</v>
      </c>
      <c r="N59" s="106">
        <f t="shared" si="37"/>
        <v>0.0044</v>
      </c>
      <c r="W59" s="68"/>
    </row>
    <row r="60" ht="22.5" customHeight="1">
      <c r="H60" s="90"/>
      <c r="I60" s="127">
        <v>15.0</v>
      </c>
      <c r="J60" s="100">
        <f t="shared" si="33"/>
        <v>3.55074</v>
      </c>
      <c r="K60" s="105">
        <f t="shared" si="34"/>
        <v>0.0397045476</v>
      </c>
      <c r="L60" s="105">
        <f t="shared" si="35"/>
        <v>0.008946435727</v>
      </c>
      <c r="M60" s="100">
        <f t="shared" si="36"/>
        <v>0.16</v>
      </c>
      <c r="N60" s="106">
        <f t="shared" si="37"/>
        <v>0.053136</v>
      </c>
      <c r="W60" s="68"/>
    </row>
    <row r="61" ht="22.5" customHeight="1">
      <c r="A61" s="165"/>
      <c r="B61" s="165"/>
      <c r="C61" s="165"/>
      <c r="D61" s="165"/>
      <c r="E61" s="165"/>
      <c r="F61" s="165"/>
      <c r="H61" s="129"/>
      <c r="I61" s="166" t="s">
        <v>46</v>
      </c>
      <c r="J61" s="108">
        <f t="shared" ref="J61:N61" si="39">SUM(J46:J60)</f>
        <v>54.679884</v>
      </c>
      <c r="K61" s="108">
        <f t="shared" si="39"/>
        <v>0.5370905809</v>
      </c>
      <c r="L61" s="108">
        <f t="shared" si="39"/>
        <v>0.3727396307</v>
      </c>
      <c r="M61" s="108">
        <f t="shared" si="39"/>
        <v>2.72</v>
      </c>
      <c r="N61" s="167">
        <f t="shared" si="39"/>
        <v>0.6408496</v>
      </c>
      <c r="W61" s="68"/>
    </row>
    <row r="62">
      <c r="H62" s="119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8"/>
    </row>
    <row r="69">
      <c r="A69" s="9" t="s">
        <v>78</v>
      </c>
    </row>
  </sheetData>
  <mergeCells count="8">
    <mergeCell ref="P21:W21"/>
    <mergeCell ref="P22:R22"/>
    <mergeCell ref="S22:U22"/>
    <mergeCell ref="V22:W22"/>
    <mergeCell ref="P25:R25"/>
    <mergeCell ref="S25:U25"/>
    <mergeCell ref="V25:W25"/>
    <mergeCell ref="P24:W24"/>
  </mergeCells>
  <dataValidations>
    <dataValidation type="custom" allowBlank="1" showDropDown="1" sqref="B5:F38 B43:E58 J46:M61">
      <formula1>AND(ISNUMBER(B5),(NOT(OR(NOT(ISERROR(DATEVALUE(B5))), AND(ISNUMBER(B5), LEFT(CELL("format", B5))="D")))))</formula1>
    </dataValidation>
    <dataValidation allowBlank="1" showDropDown="1" sqref="A43:A58"/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88"/>
    <col customWidth="1" min="3" max="3" width="24.25"/>
    <col customWidth="1" min="4" max="4" width="18.5"/>
    <col customWidth="1" min="5" max="5" width="22.75"/>
    <col customWidth="1" min="6" max="6" width="25.75"/>
    <col customWidth="1" min="8" max="8" width="23.75"/>
    <col customWidth="1" min="10" max="10" width="22.0"/>
    <col customWidth="1" min="11" max="12" width="17.88"/>
    <col customWidth="1" min="13" max="13" width="22.38"/>
    <col customWidth="1" min="17" max="17" width="23.13"/>
    <col customWidth="1" min="20" max="20" width="22.38"/>
    <col customWidth="1" min="23" max="23" width="20.38"/>
  </cols>
  <sheetData>
    <row r="1">
      <c r="A1" s="36"/>
      <c r="B1" s="36"/>
      <c r="C1" s="36"/>
      <c r="D1" s="36"/>
      <c r="E1" s="36"/>
      <c r="F1" s="36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>
      <c r="A2" s="37" t="s">
        <v>30</v>
      </c>
      <c r="B2" s="39"/>
      <c r="C2" s="39"/>
      <c r="D2" s="39"/>
      <c r="E2" s="39"/>
      <c r="F2" s="40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>
      <c r="A3" s="41"/>
      <c r="B3" s="36"/>
      <c r="C3" s="36"/>
      <c r="D3" s="36"/>
      <c r="E3" s="36"/>
      <c r="F3" s="42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ht="22.5" customHeight="1">
      <c r="A4" s="169" t="s">
        <v>31</v>
      </c>
      <c r="B4" s="170" t="s">
        <v>32</v>
      </c>
      <c r="C4" s="170" t="s">
        <v>2</v>
      </c>
      <c r="D4" s="170" t="s">
        <v>3</v>
      </c>
      <c r="E4" s="170" t="s">
        <v>4</v>
      </c>
      <c r="F4" s="171" t="s">
        <v>79</v>
      </c>
      <c r="G4" s="168"/>
      <c r="H4" s="168"/>
      <c r="I4" s="168"/>
      <c r="J4" s="168"/>
      <c r="K4" s="168"/>
      <c r="L4" s="168"/>
      <c r="M4" s="168"/>
      <c r="N4" s="168"/>
      <c r="O4" s="168"/>
      <c r="P4" s="168"/>
    </row>
    <row r="5" ht="22.5" customHeight="1">
      <c r="A5" s="51" t="s">
        <v>33</v>
      </c>
      <c r="B5" s="120">
        <v>0.17</v>
      </c>
      <c r="C5" s="154">
        <v>0.312</v>
      </c>
      <c r="D5" s="48">
        <v>0.219</v>
      </c>
      <c r="E5" s="48">
        <v>0.105</v>
      </c>
      <c r="F5" s="157">
        <v>7.156</v>
      </c>
      <c r="G5" s="168"/>
      <c r="H5" s="168"/>
      <c r="I5" s="168"/>
      <c r="J5" s="168"/>
      <c r="K5" s="168"/>
      <c r="L5" s="168"/>
      <c r="M5" s="168"/>
      <c r="N5" s="168"/>
      <c r="O5" s="168"/>
      <c r="P5" s="168"/>
    </row>
    <row r="6" ht="22.5" customHeight="1">
      <c r="A6" s="51" t="s">
        <v>33</v>
      </c>
      <c r="B6" s="120">
        <v>0.35</v>
      </c>
      <c r="C6" s="154">
        <v>0.308</v>
      </c>
      <c r="D6" s="48">
        <v>0.21</v>
      </c>
      <c r="E6" s="48">
        <v>0.099</v>
      </c>
      <c r="F6" s="157">
        <v>6.428</v>
      </c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ht="22.5" customHeight="1">
      <c r="A7" s="51" t="s">
        <v>33</v>
      </c>
      <c r="B7" s="120">
        <v>0.25</v>
      </c>
      <c r="C7" s="154">
        <v>0.302</v>
      </c>
      <c r="D7" s="48">
        <v>0.214</v>
      </c>
      <c r="E7" s="48">
        <v>0.098</v>
      </c>
      <c r="F7" s="157">
        <v>6.345</v>
      </c>
      <c r="G7" s="168"/>
      <c r="H7" s="168"/>
      <c r="I7" s="168"/>
      <c r="J7" s="168"/>
      <c r="K7" s="168"/>
      <c r="L7" s="168"/>
      <c r="M7" s="168"/>
      <c r="N7" s="168"/>
      <c r="O7" s="168"/>
      <c r="P7" s="168"/>
    </row>
    <row r="8" ht="22.5" customHeight="1">
      <c r="A8" s="51" t="s">
        <v>33</v>
      </c>
      <c r="B8" s="120">
        <v>0.31</v>
      </c>
      <c r="C8" s="154">
        <v>0.321</v>
      </c>
      <c r="D8" s="48">
        <v>0.227</v>
      </c>
      <c r="E8" s="48">
        <v>0.093</v>
      </c>
      <c r="F8" s="157">
        <v>6.774</v>
      </c>
      <c r="G8" s="168"/>
      <c r="H8" s="168"/>
      <c r="I8" s="168"/>
      <c r="J8" s="168"/>
      <c r="K8" s="168"/>
      <c r="L8" s="168"/>
      <c r="M8" s="168"/>
      <c r="N8" s="168"/>
      <c r="O8" s="168"/>
      <c r="P8" s="168"/>
    </row>
    <row r="9" ht="22.5" customHeight="1">
      <c r="A9" s="51" t="s">
        <v>33</v>
      </c>
      <c r="B9" s="120">
        <v>0.28</v>
      </c>
      <c r="C9" s="154">
        <v>0.33</v>
      </c>
      <c r="D9" s="48">
        <v>0.188</v>
      </c>
      <c r="E9" s="48">
        <v>0.097</v>
      </c>
      <c r="F9" s="157">
        <v>6.009</v>
      </c>
      <c r="G9" s="168"/>
      <c r="H9" s="168"/>
      <c r="I9" s="168"/>
      <c r="J9" s="168"/>
      <c r="K9" s="168"/>
      <c r="L9" s="168"/>
      <c r="M9" s="168"/>
      <c r="N9" s="168"/>
      <c r="O9" s="168"/>
      <c r="P9" s="168"/>
    </row>
    <row r="10" ht="22.5" customHeight="1">
      <c r="A10" s="51" t="s">
        <v>33</v>
      </c>
      <c r="B10" s="120">
        <v>0.24</v>
      </c>
      <c r="C10" s="154">
        <v>0.299</v>
      </c>
      <c r="D10" s="48">
        <v>0.225</v>
      </c>
      <c r="E10" s="48">
        <v>0.098</v>
      </c>
      <c r="F10" s="157">
        <v>6.612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</row>
    <row r="11" ht="22.5" customHeight="1">
      <c r="A11" s="51" t="s">
        <v>33</v>
      </c>
      <c r="B11" s="120">
        <v>0.17</v>
      </c>
      <c r="C11" s="154">
        <v>0.298</v>
      </c>
      <c r="D11" s="48">
        <v>0.194</v>
      </c>
      <c r="E11" s="48">
        <v>0.094</v>
      </c>
      <c r="F11" s="157">
        <v>5.466</v>
      </c>
      <c r="G11" s="168"/>
      <c r="H11" s="168"/>
      <c r="I11" s="168"/>
      <c r="J11" s="168"/>
      <c r="K11" s="168"/>
      <c r="L11" s="168"/>
      <c r="M11" s="168"/>
      <c r="N11" s="168"/>
      <c r="O11" s="168"/>
      <c r="P11" s="168"/>
    </row>
    <row r="12" ht="22.5" customHeight="1">
      <c r="A12" s="51" t="s">
        <v>34</v>
      </c>
      <c r="B12" s="120">
        <v>0.27</v>
      </c>
      <c r="C12" s="154">
        <v>0.302</v>
      </c>
      <c r="D12" s="48">
        <v>0.219</v>
      </c>
      <c r="E12" s="48">
        <v>0.1</v>
      </c>
      <c r="F12" s="157">
        <v>6.599</v>
      </c>
      <c r="G12" s="168"/>
      <c r="H12" s="168"/>
      <c r="I12" s="168"/>
      <c r="J12" s="168"/>
      <c r="K12" s="168"/>
      <c r="L12" s="168"/>
      <c r="M12" s="168"/>
      <c r="N12" s="168"/>
      <c r="O12" s="168"/>
      <c r="P12" s="168"/>
    </row>
    <row r="13" ht="22.5" customHeight="1">
      <c r="A13" s="51" t="s">
        <v>34</v>
      </c>
      <c r="B13" s="120">
        <v>0.29</v>
      </c>
      <c r="C13" s="154">
        <v>0.312</v>
      </c>
      <c r="D13" s="48">
        <v>0.215</v>
      </c>
      <c r="E13" s="48">
        <v>0.099</v>
      </c>
      <c r="F13" s="157">
        <v>6.628</v>
      </c>
      <c r="G13" s="168"/>
      <c r="H13" s="168"/>
      <c r="I13" s="168"/>
      <c r="J13" s="168"/>
      <c r="K13" s="168"/>
      <c r="L13" s="168"/>
      <c r="M13" s="168"/>
      <c r="N13" s="168"/>
      <c r="O13" s="168"/>
      <c r="P13" s="168"/>
    </row>
    <row r="14" ht="22.5" customHeight="1">
      <c r="A14" s="51" t="s">
        <v>34</v>
      </c>
      <c r="B14" s="120">
        <v>0.23</v>
      </c>
      <c r="C14" s="154">
        <v>0.299</v>
      </c>
      <c r="D14" s="48">
        <v>0.22</v>
      </c>
      <c r="E14" s="48">
        <v>0.097</v>
      </c>
      <c r="F14" s="157">
        <v>6.409</v>
      </c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 ht="22.5" customHeight="1">
      <c r="A15" s="51" t="s">
        <v>34</v>
      </c>
      <c r="B15" s="120">
        <v>0.33</v>
      </c>
      <c r="C15" s="154">
        <v>0.302</v>
      </c>
      <c r="D15" s="48">
        <v>0.209</v>
      </c>
      <c r="E15" s="48">
        <v>0.099</v>
      </c>
      <c r="F15" s="157">
        <v>6.244</v>
      </c>
      <c r="G15" s="168"/>
      <c r="H15" s="168"/>
      <c r="I15" s="168"/>
      <c r="J15" s="168"/>
      <c r="K15" s="168"/>
      <c r="L15" s="168"/>
      <c r="M15" s="168"/>
      <c r="N15" s="168"/>
      <c r="O15" s="168"/>
      <c r="P15" s="168"/>
    </row>
    <row r="16" ht="22.5" customHeight="1">
      <c r="A16" s="51" t="s">
        <v>34</v>
      </c>
      <c r="B16" s="120">
        <v>0.19</v>
      </c>
      <c r="C16" s="154">
        <v>0.297</v>
      </c>
      <c r="D16" s="48">
        <v>0.213</v>
      </c>
      <c r="E16" s="48">
        <v>0.097</v>
      </c>
      <c r="F16" s="157">
        <v>6.151</v>
      </c>
      <c r="G16" s="168"/>
      <c r="H16" s="168"/>
      <c r="I16" s="168"/>
      <c r="J16" s="168"/>
      <c r="K16" s="168"/>
      <c r="L16" s="168"/>
      <c r="M16" s="168"/>
      <c r="N16" s="168"/>
      <c r="O16" s="168"/>
      <c r="P16" s="168"/>
    </row>
    <row r="17" ht="22.5" customHeight="1">
      <c r="A17" s="172"/>
      <c r="B17" s="173"/>
      <c r="C17" s="173"/>
      <c r="D17" s="174"/>
      <c r="E17" s="174"/>
      <c r="F17" s="175"/>
      <c r="G17" s="168"/>
      <c r="H17" s="168"/>
      <c r="I17" s="168"/>
      <c r="J17" s="168"/>
      <c r="K17" s="168"/>
      <c r="L17" s="168"/>
      <c r="M17" s="168"/>
      <c r="N17" s="168"/>
      <c r="O17" s="168"/>
      <c r="P17" s="168"/>
    </row>
    <row r="18" ht="22.5" customHeight="1">
      <c r="A18" s="176"/>
      <c r="B18" s="124"/>
      <c r="C18" s="124"/>
      <c r="D18" s="56"/>
      <c r="E18" s="56"/>
      <c r="F18" s="177"/>
      <c r="G18" s="168"/>
      <c r="H18" s="168"/>
      <c r="I18" s="168"/>
      <c r="J18" s="168"/>
      <c r="K18" s="168"/>
      <c r="L18" s="168"/>
      <c r="M18" s="168"/>
      <c r="N18" s="168"/>
      <c r="O18" s="168"/>
      <c r="P18" s="168"/>
    </row>
    <row r="19" ht="22.5" customHeight="1">
      <c r="A19" s="176"/>
      <c r="B19" s="124"/>
      <c r="C19" s="124"/>
      <c r="D19" s="56"/>
      <c r="E19" s="56"/>
      <c r="F19" s="177"/>
      <c r="G19" s="168"/>
      <c r="H19" s="178"/>
      <c r="I19" s="179"/>
      <c r="J19" s="62" t="s">
        <v>35</v>
      </c>
      <c r="K19" s="179"/>
      <c r="L19" s="179"/>
      <c r="M19" s="179"/>
      <c r="N19" s="179"/>
      <c r="O19" s="179"/>
      <c r="P19" s="179"/>
      <c r="Q19" s="38"/>
      <c r="R19" s="38"/>
      <c r="S19" s="38"/>
      <c r="T19" s="38"/>
      <c r="U19" s="38"/>
      <c r="V19" s="38"/>
      <c r="W19" s="63"/>
    </row>
    <row r="20" ht="22.5" customHeight="1">
      <c r="A20" s="176"/>
      <c r="B20" s="124"/>
      <c r="C20" s="124"/>
      <c r="D20" s="56"/>
      <c r="E20" s="56"/>
      <c r="F20" s="177"/>
      <c r="G20" s="168"/>
      <c r="H20" s="126" t="s">
        <v>36</v>
      </c>
      <c r="I20" s="65">
        <v>0.005</v>
      </c>
      <c r="J20" s="168"/>
      <c r="K20" s="168"/>
      <c r="L20" s="168"/>
      <c r="M20" s="66" t="s">
        <v>37</v>
      </c>
      <c r="N20" s="67">
        <v>1000.0</v>
      </c>
      <c r="O20" s="168"/>
      <c r="P20" s="168"/>
      <c r="W20" s="68"/>
    </row>
    <row r="21" ht="22.5" customHeight="1">
      <c r="A21" s="176"/>
      <c r="B21" s="124"/>
      <c r="C21" s="124"/>
      <c r="D21" s="56"/>
      <c r="E21" s="56"/>
      <c r="F21" s="177"/>
      <c r="G21" s="168"/>
      <c r="H21" s="180"/>
      <c r="I21" s="127" t="s">
        <v>38</v>
      </c>
      <c r="J21" s="181" t="s">
        <v>2</v>
      </c>
      <c r="K21" s="182" t="s">
        <v>3</v>
      </c>
      <c r="L21" s="182" t="s">
        <v>4</v>
      </c>
      <c r="M21" s="183" t="s">
        <v>5</v>
      </c>
      <c r="N21" s="168"/>
      <c r="O21" s="168"/>
      <c r="P21" s="70" t="s">
        <v>39</v>
      </c>
      <c r="W21" s="128"/>
    </row>
    <row r="22" ht="22.5" customHeight="1">
      <c r="A22" s="176"/>
      <c r="B22" s="124"/>
      <c r="C22" s="124"/>
      <c r="D22" s="56"/>
      <c r="E22" s="56"/>
      <c r="F22" s="177"/>
      <c r="G22" s="168"/>
      <c r="H22" s="184"/>
      <c r="I22" s="185">
        <v>1.0</v>
      </c>
      <c r="J22" s="186">
        <f t="shared" ref="J22:L22" si="1">C5-$I$20</f>
        <v>0.307</v>
      </c>
      <c r="K22" s="186">
        <f t="shared" si="1"/>
        <v>0.214</v>
      </c>
      <c r="L22" s="186">
        <f t="shared" si="1"/>
        <v>0.1</v>
      </c>
      <c r="M22" s="186">
        <f t="shared" ref="M22:M33" si="3">(J22*K22*L22)*N$20</f>
        <v>6.5698</v>
      </c>
      <c r="N22" s="168"/>
      <c r="O22" s="168"/>
      <c r="P22" s="70" t="s">
        <v>2</v>
      </c>
      <c r="S22" s="70" t="s">
        <v>3</v>
      </c>
      <c r="V22" s="70" t="s">
        <v>4</v>
      </c>
      <c r="W22" s="128"/>
    </row>
    <row r="23" ht="22.5" customHeight="1">
      <c r="A23" s="176"/>
      <c r="B23" s="124"/>
      <c r="C23" s="124"/>
      <c r="D23" s="56"/>
      <c r="E23" s="56"/>
      <c r="F23" s="177"/>
      <c r="G23" s="168"/>
      <c r="H23" s="184"/>
      <c r="I23" s="185">
        <v>2.0</v>
      </c>
      <c r="J23" s="186">
        <f t="shared" ref="J23:L23" si="2">C6-$I$20</f>
        <v>0.303</v>
      </c>
      <c r="K23" s="186">
        <f t="shared" si="2"/>
        <v>0.205</v>
      </c>
      <c r="L23" s="186">
        <f t="shared" si="2"/>
        <v>0.094</v>
      </c>
      <c r="M23" s="186">
        <f t="shared" si="3"/>
        <v>5.83881</v>
      </c>
      <c r="N23" s="168"/>
      <c r="O23" s="168"/>
      <c r="P23" s="73"/>
      <c r="Q23" s="74">
        <v>0.3</v>
      </c>
      <c r="R23" s="75"/>
      <c r="S23" s="76">
        <v>0.2</v>
      </c>
      <c r="T23" s="75"/>
      <c r="U23" s="75"/>
      <c r="V23" s="76">
        <v>0.1</v>
      </c>
      <c r="W23" s="130"/>
    </row>
    <row r="24" ht="22.5" customHeight="1">
      <c r="A24" s="176"/>
      <c r="B24" s="124"/>
      <c r="C24" s="124"/>
      <c r="D24" s="56"/>
      <c r="E24" s="56"/>
      <c r="F24" s="177"/>
      <c r="G24" s="168"/>
      <c r="H24" s="184"/>
      <c r="I24" s="185">
        <v>3.0</v>
      </c>
      <c r="J24" s="186">
        <f t="shared" ref="J24:L24" si="4">C7-$I$20</f>
        <v>0.297</v>
      </c>
      <c r="K24" s="186">
        <f t="shared" si="4"/>
        <v>0.209</v>
      </c>
      <c r="L24" s="186">
        <f t="shared" si="4"/>
        <v>0.093</v>
      </c>
      <c r="M24" s="186">
        <f t="shared" si="3"/>
        <v>5.772789</v>
      </c>
      <c r="N24" s="168"/>
      <c r="O24" s="77"/>
      <c r="P24" s="78" t="s">
        <v>40</v>
      </c>
      <c r="W24" s="128"/>
    </row>
    <row r="25" ht="22.5" customHeight="1">
      <c r="A25" s="176"/>
      <c r="B25" s="124"/>
      <c r="C25" s="124"/>
      <c r="D25" s="56"/>
      <c r="E25" s="56"/>
      <c r="F25" s="177"/>
      <c r="G25" s="168"/>
      <c r="H25" s="184"/>
      <c r="I25" s="185">
        <v>4.0</v>
      </c>
      <c r="J25" s="186">
        <f t="shared" ref="J25:L25" si="5">C8-$I$20</f>
        <v>0.316</v>
      </c>
      <c r="K25" s="186">
        <f t="shared" si="5"/>
        <v>0.222</v>
      </c>
      <c r="L25" s="186">
        <f t="shared" si="5"/>
        <v>0.088</v>
      </c>
      <c r="M25" s="186">
        <f t="shared" si="3"/>
        <v>6.173376</v>
      </c>
      <c r="N25" s="168"/>
      <c r="O25" s="77"/>
      <c r="P25" s="79" t="s">
        <v>41</v>
      </c>
      <c r="S25" s="79" t="s">
        <v>42</v>
      </c>
      <c r="V25" s="79" t="s">
        <v>43</v>
      </c>
      <c r="W25" s="128"/>
    </row>
    <row r="26" ht="22.5" customHeight="1">
      <c r="A26" s="176"/>
      <c r="B26" s="124"/>
      <c r="C26" s="124"/>
      <c r="D26" s="56"/>
      <c r="E26" s="56"/>
      <c r="F26" s="177"/>
      <c r="G26" s="168"/>
      <c r="H26" s="184"/>
      <c r="I26" s="185">
        <v>5.0</v>
      </c>
      <c r="J26" s="186">
        <f t="shared" ref="J26:L26" si="6">C9-$I$20</f>
        <v>0.325</v>
      </c>
      <c r="K26" s="186">
        <f t="shared" si="6"/>
        <v>0.183</v>
      </c>
      <c r="L26" s="186">
        <f t="shared" si="6"/>
        <v>0.092</v>
      </c>
      <c r="M26" s="186">
        <f t="shared" si="3"/>
        <v>5.4717</v>
      </c>
      <c r="N26" s="168"/>
      <c r="O26" s="187" t="s">
        <v>38</v>
      </c>
      <c r="P26" s="80" t="s">
        <v>44</v>
      </c>
      <c r="Q26" s="80" t="s">
        <v>45</v>
      </c>
      <c r="R26" s="81"/>
      <c r="S26" s="80" t="s">
        <v>44</v>
      </c>
      <c r="T26" s="80" t="s">
        <v>45</v>
      </c>
      <c r="U26" s="82"/>
      <c r="V26" s="80" t="s">
        <v>44</v>
      </c>
      <c r="W26" s="131" t="s">
        <v>45</v>
      </c>
    </row>
    <row r="27" ht="22.5" customHeight="1">
      <c r="A27" s="176"/>
      <c r="B27" s="124"/>
      <c r="C27" s="124"/>
      <c r="D27" s="56"/>
      <c r="E27" s="56"/>
      <c r="F27" s="177"/>
      <c r="G27" s="168"/>
      <c r="H27" s="184"/>
      <c r="I27" s="185">
        <v>6.0</v>
      </c>
      <c r="J27" s="186">
        <f t="shared" ref="J27:L27" si="7">C10-$I$20</f>
        <v>0.294</v>
      </c>
      <c r="K27" s="186">
        <f t="shared" si="7"/>
        <v>0.22</v>
      </c>
      <c r="L27" s="186">
        <f t="shared" si="7"/>
        <v>0.093</v>
      </c>
      <c r="M27" s="186">
        <f t="shared" si="3"/>
        <v>6.01524</v>
      </c>
      <c r="N27" s="168"/>
      <c r="O27" s="127">
        <v>1.0</v>
      </c>
      <c r="P27" s="188">
        <f t="shared" ref="P27:P38" si="9">abs(J22-Q$23)^2</f>
        <v>0.000049</v>
      </c>
      <c r="Q27" s="188">
        <f t="shared" ref="Q27:Q38" si="10">ABS(J22-AVERAGE(J$22:J$33))^2</f>
        <v>0.00002669444444</v>
      </c>
      <c r="R27" s="189"/>
      <c r="S27" s="188">
        <f t="shared" ref="S27:S38" si="11">abs(K22-S$23)^2</f>
        <v>0.000196</v>
      </c>
      <c r="T27" s="188">
        <f t="shared" ref="T27:T38" si="12">ABS(K22-AVERAGE(K$22:K$33))^2</f>
        <v>0.0000390625</v>
      </c>
      <c r="U27" s="190"/>
      <c r="V27" s="190">
        <f t="shared" ref="V27:V38" si="13">abs(L22-V$23)^2</f>
        <v>0</v>
      </c>
      <c r="W27" s="191">
        <f t="shared" ref="W27:W38" si="14">ABS(L22-AVERAGE(L$22:L$33))^2</f>
        <v>0.000049</v>
      </c>
    </row>
    <row r="28" ht="22.5" customHeight="1">
      <c r="A28" s="176"/>
      <c r="B28" s="124"/>
      <c r="C28" s="124"/>
      <c r="D28" s="56"/>
      <c r="E28" s="56"/>
      <c r="F28" s="177"/>
      <c r="G28" s="168"/>
      <c r="H28" s="184"/>
      <c r="I28" s="185">
        <v>7.0</v>
      </c>
      <c r="J28" s="186">
        <f t="shared" ref="J28:L28" si="8">C11-$I$20</f>
        <v>0.293</v>
      </c>
      <c r="K28" s="186">
        <f t="shared" si="8"/>
        <v>0.189</v>
      </c>
      <c r="L28" s="186">
        <f t="shared" si="8"/>
        <v>0.089</v>
      </c>
      <c r="M28" s="186">
        <f t="shared" si="3"/>
        <v>4.928553</v>
      </c>
      <c r="N28" s="168"/>
      <c r="O28" s="127">
        <v>2.0</v>
      </c>
      <c r="P28" s="192">
        <f t="shared" si="9"/>
        <v>0.000009</v>
      </c>
      <c r="Q28" s="192">
        <f t="shared" si="10"/>
        <v>0.000001361111111</v>
      </c>
      <c r="R28" s="193"/>
      <c r="S28" s="192">
        <f t="shared" si="11"/>
        <v>0.000025</v>
      </c>
      <c r="T28" s="192">
        <f t="shared" si="12"/>
        <v>0.0000075625</v>
      </c>
      <c r="U28" s="190"/>
      <c r="V28" s="190">
        <f t="shared" si="13"/>
        <v>0.000036</v>
      </c>
      <c r="W28" s="191">
        <f t="shared" si="14"/>
        <v>0.000001</v>
      </c>
    </row>
    <row r="29" ht="22.5" customHeight="1">
      <c r="A29" s="176"/>
      <c r="B29" s="124"/>
      <c r="C29" s="124"/>
      <c r="D29" s="56"/>
      <c r="E29" s="56"/>
      <c r="F29" s="177"/>
      <c r="G29" s="168"/>
      <c r="H29" s="184"/>
      <c r="I29" s="185">
        <v>8.0</v>
      </c>
      <c r="J29" s="186">
        <f t="shared" ref="J29:L29" si="15">C12-$I$20</f>
        <v>0.297</v>
      </c>
      <c r="K29" s="186">
        <f t="shared" si="15"/>
        <v>0.214</v>
      </c>
      <c r="L29" s="186">
        <f t="shared" si="15"/>
        <v>0.095</v>
      </c>
      <c r="M29" s="186">
        <f t="shared" si="3"/>
        <v>6.03801</v>
      </c>
      <c r="N29" s="168"/>
      <c r="O29" s="127">
        <v>3.0</v>
      </c>
      <c r="P29" s="188">
        <f t="shared" si="9"/>
        <v>0.000009</v>
      </c>
      <c r="Q29" s="188">
        <f t="shared" si="10"/>
        <v>0.00002336111111</v>
      </c>
      <c r="R29" s="189"/>
      <c r="S29" s="188">
        <f t="shared" si="11"/>
        <v>0.000081</v>
      </c>
      <c r="T29" s="188">
        <f t="shared" si="12"/>
        <v>0.0000015625</v>
      </c>
      <c r="U29" s="190"/>
      <c r="V29" s="190">
        <f t="shared" si="13"/>
        <v>0.000049</v>
      </c>
      <c r="W29" s="191">
        <f t="shared" si="14"/>
        <v>0</v>
      </c>
    </row>
    <row r="30" ht="22.5" customHeight="1">
      <c r="A30" s="176"/>
      <c r="B30" s="124"/>
      <c r="C30" s="124"/>
      <c r="D30" s="56"/>
      <c r="E30" s="56"/>
      <c r="F30" s="177"/>
      <c r="G30" s="168"/>
      <c r="H30" s="184"/>
      <c r="I30" s="185">
        <v>9.0</v>
      </c>
      <c r="J30" s="186">
        <f t="shared" ref="J30:L30" si="16">C13-$I$20</f>
        <v>0.307</v>
      </c>
      <c r="K30" s="186">
        <f t="shared" si="16"/>
        <v>0.21</v>
      </c>
      <c r="L30" s="186">
        <f t="shared" si="16"/>
        <v>0.094</v>
      </c>
      <c r="M30" s="186">
        <f t="shared" si="3"/>
        <v>6.06018</v>
      </c>
      <c r="N30" s="168"/>
      <c r="O30" s="127">
        <v>4.0</v>
      </c>
      <c r="P30" s="192">
        <f t="shared" si="9"/>
        <v>0.000256</v>
      </c>
      <c r="Q30" s="192">
        <f t="shared" si="10"/>
        <v>0.0002006944444</v>
      </c>
      <c r="R30" s="193"/>
      <c r="S30" s="192">
        <f t="shared" si="11"/>
        <v>0.000484</v>
      </c>
      <c r="T30" s="192">
        <f t="shared" si="12"/>
        <v>0.0002030625</v>
      </c>
      <c r="U30" s="190"/>
      <c r="V30" s="190">
        <f t="shared" si="13"/>
        <v>0.000144</v>
      </c>
      <c r="W30" s="191">
        <f t="shared" si="14"/>
        <v>0.000025</v>
      </c>
    </row>
    <row r="31" ht="22.5" customHeight="1">
      <c r="A31" s="176"/>
      <c r="B31" s="124"/>
      <c r="C31" s="124"/>
      <c r="D31" s="56"/>
      <c r="E31" s="56"/>
      <c r="F31" s="177"/>
      <c r="G31" s="168"/>
      <c r="H31" s="184"/>
      <c r="I31" s="185">
        <v>10.0</v>
      </c>
      <c r="J31" s="186">
        <f t="shared" ref="J31:L31" si="17">C14-$I$20</f>
        <v>0.294</v>
      </c>
      <c r="K31" s="186">
        <f t="shared" si="17"/>
        <v>0.215</v>
      </c>
      <c r="L31" s="186">
        <f t="shared" si="17"/>
        <v>0.092</v>
      </c>
      <c r="M31" s="186">
        <f t="shared" si="3"/>
        <v>5.81532</v>
      </c>
      <c r="N31" s="168"/>
      <c r="O31" s="127">
        <v>5.0</v>
      </c>
      <c r="P31" s="188">
        <f t="shared" si="9"/>
        <v>0.000625</v>
      </c>
      <c r="Q31" s="188">
        <f t="shared" si="10"/>
        <v>0.0005366944444</v>
      </c>
      <c r="R31" s="189"/>
      <c r="S31" s="188">
        <f t="shared" si="11"/>
        <v>0.000289</v>
      </c>
      <c r="T31" s="188">
        <f t="shared" si="12"/>
        <v>0.0006125625</v>
      </c>
      <c r="U31" s="190"/>
      <c r="V31" s="190">
        <f t="shared" si="13"/>
        <v>0.000064</v>
      </c>
      <c r="W31" s="191">
        <f t="shared" si="14"/>
        <v>0.000001</v>
      </c>
    </row>
    <row r="32" ht="22.5" customHeight="1">
      <c r="A32" s="176"/>
      <c r="B32" s="124"/>
      <c r="C32" s="124"/>
      <c r="D32" s="56"/>
      <c r="E32" s="56"/>
      <c r="F32" s="177"/>
      <c r="G32" s="168"/>
      <c r="H32" s="184"/>
      <c r="I32" s="185">
        <v>11.0</v>
      </c>
      <c r="J32" s="186">
        <f t="shared" ref="J32:L32" si="18">C15-$I$20</f>
        <v>0.297</v>
      </c>
      <c r="K32" s="186">
        <f t="shared" si="18"/>
        <v>0.204</v>
      </c>
      <c r="L32" s="186">
        <f t="shared" si="18"/>
        <v>0.094</v>
      </c>
      <c r="M32" s="186">
        <f t="shared" si="3"/>
        <v>5.695272</v>
      </c>
      <c r="N32" s="168"/>
      <c r="O32" s="127">
        <v>6.0</v>
      </c>
      <c r="P32" s="192">
        <f t="shared" si="9"/>
        <v>0.000036</v>
      </c>
      <c r="Q32" s="192">
        <f t="shared" si="10"/>
        <v>0.00006136111111</v>
      </c>
      <c r="R32" s="193"/>
      <c r="S32" s="192">
        <f t="shared" si="11"/>
        <v>0.0004</v>
      </c>
      <c r="T32" s="192">
        <f t="shared" si="12"/>
        <v>0.0001500625</v>
      </c>
      <c r="U32" s="190"/>
      <c r="V32" s="190">
        <f t="shared" si="13"/>
        <v>0.000049</v>
      </c>
      <c r="W32" s="191">
        <f t="shared" si="14"/>
        <v>0</v>
      </c>
    </row>
    <row r="33" ht="22.5" customHeight="1">
      <c r="A33" s="176"/>
      <c r="B33" s="124"/>
      <c r="C33" s="124"/>
      <c r="D33" s="56"/>
      <c r="E33" s="56"/>
      <c r="F33" s="177"/>
      <c r="G33" s="168"/>
      <c r="H33" s="184"/>
      <c r="I33" s="185">
        <v>12.0</v>
      </c>
      <c r="J33" s="186">
        <f t="shared" ref="J33:L33" si="19">C16-$I$20</f>
        <v>0.292</v>
      </c>
      <c r="K33" s="186">
        <f t="shared" si="19"/>
        <v>0.208</v>
      </c>
      <c r="L33" s="186">
        <f t="shared" si="19"/>
        <v>0.092</v>
      </c>
      <c r="M33" s="186">
        <f t="shared" si="3"/>
        <v>5.587712</v>
      </c>
      <c r="N33" s="168"/>
      <c r="O33" s="127">
        <v>7.0</v>
      </c>
      <c r="P33" s="188">
        <f t="shared" si="9"/>
        <v>0.000049</v>
      </c>
      <c r="Q33" s="188">
        <f t="shared" si="10"/>
        <v>0.00007802777778</v>
      </c>
      <c r="R33" s="189"/>
      <c r="S33" s="188">
        <f t="shared" si="11"/>
        <v>0.000121</v>
      </c>
      <c r="T33" s="188">
        <f t="shared" si="12"/>
        <v>0.0003515625</v>
      </c>
      <c r="U33" s="190"/>
      <c r="V33" s="190">
        <f t="shared" si="13"/>
        <v>0.000121</v>
      </c>
      <c r="W33" s="191">
        <f t="shared" si="14"/>
        <v>0.000016</v>
      </c>
    </row>
    <row r="34" ht="22.5" customHeight="1">
      <c r="A34" s="176"/>
      <c r="B34" s="124"/>
      <c r="C34" s="124"/>
      <c r="D34" s="56"/>
      <c r="E34" s="56"/>
      <c r="F34" s="177"/>
      <c r="G34" s="168"/>
      <c r="H34" s="184"/>
      <c r="I34" s="194"/>
      <c r="J34" s="195"/>
      <c r="K34" s="195"/>
      <c r="L34" s="195"/>
      <c r="M34" s="195"/>
      <c r="N34" s="168"/>
      <c r="O34" s="127">
        <v>8.0</v>
      </c>
      <c r="P34" s="192">
        <f t="shared" si="9"/>
        <v>0.000009</v>
      </c>
      <c r="Q34" s="192">
        <f t="shared" si="10"/>
        <v>0.00002336111111</v>
      </c>
      <c r="R34" s="193"/>
      <c r="S34" s="192">
        <f t="shared" si="11"/>
        <v>0.000196</v>
      </c>
      <c r="T34" s="192">
        <f t="shared" si="12"/>
        <v>0.0000390625</v>
      </c>
      <c r="U34" s="190"/>
      <c r="V34" s="190">
        <f t="shared" si="13"/>
        <v>0.000025</v>
      </c>
      <c r="W34" s="191">
        <f t="shared" si="14"/>
        <v>0.000004</v>
      </c>
    </row>
    <row r="35" ht="22.5" customHeight="1">
      <c r="A35" s="176"/>
      <c r="B35" s="124"/>
      <c r="C35" s="124"/>
      <c r="D35" s="56"/>
      <c r="E35" s="56"/>
      <c r="F35" s="177"/>
      <c r="G35" s="168"/>
      <c r="H35" s="184"/>
      <c r="I35" s="194"/>
      <c r="J35" s="195"/>
      <c r="K35" s="195"/>
      <c r="L35" s="195"/>
      <c r="M35" s="195"/>
      <c r="N35" s="168"/>
      <c r="O35" s="127">
        <v>9.0</v>
      </c>
      <c r="P35" s="188">
        <f t="shared" si="9"/>
        <v>0.000049</v>
      </c>
      <c r="Q35" s="188">
        <f t="shared" si="10"/>
        <v>0.00002669444444</v>
      </c>
      <c r="R35" s="189"/>
      <c r="S35" s="188">
        <f t="shared" si="11"/>
        <v>0.0001</v>
      </c>
      <c r="T35" s="188">
        <f t="shared" si="12"/>
        <v>0.0000050625</v>
      </c>
      <c r="U35" s="190"/>
      <c r="V35" s="190">
        <f t="shared" si="13"/>
        <v>0.000036</v>
      </c>
      <c r="W35" s="191">
        <f t="shared" si="14"/>
        <v>0.000001</v>
      </c>
    </row>
    <row r="36" ht="22.5" customHeight="1">
      <c r="A36" s="176"/>
      <c r="B36" s="124"/>
      <c r="C36" s="124"/>
      <c r="D36" s="56"/>
      <c r="E36" s="56"/>
      <c r="F36" s="177"/>
      <c r="G36" s="168"/>
      <c r="H36" s="184"/>
      <c r="I36" s="194"/>
      <c r="J36" s="195"/>
      <c r="K36" s="195"/>
      <c r="L36" s="195"/>
      <c r="M36" s="195"/>
      <c r="N36" s="168"/>
      <c r="O36" s="127">
        <v>10.0</v>
      </c>
      <c r="P36" s="192">
        <f t="shared" si="9"/>
        <v>0.000036</v>
      </c>
      <c r="Q36" s="192">
        <f t="shared" si="10"/>
        <v>0.00006136111111</v>
      </c>
      <c r="R36" s="193"/>
      <c r="S36" s="192">
        <f t="shared" si="11"/>
        <v>0.000225</v>
      </c>
      <c r="T36" s="192">
        <f t="shared" si="12"/>
        <v>0.0000525625</v>
      </c>
      <c r="U36" s="190"/>
      <c r="V36" s="190">
        <f t="shared" si="13"/>
        <v>0.000064</v>
      </c>
      <c r="W36" s="191">
        <f t="shared" si="14"/>
        <v>0.000001</v>
      </c>
    </row>
    <row r="37" ht="22.5" customHeight="1">
      <c r="A37" s="176"/>
      <c r="B37" s="124"/>
      <c r="C37" s="124"/>
      <c r="D37" s="56"/>
      <c r="E37" s="56"/>
      <c r="F37" s="177"/>
      <c r="G37" s="168"/>
      <c r="H37" s="180"/>
      <c r="I37" s="168"/>
      <c r="J37" s="196"/>
      <c r="K37" s="196"/>
      <c r="L37" s="196"/>
      <c r="M37" s="168"/>
      <c r="N37" s="168"/>
      <c r="O37" s="127">
        <v>11.0</v>
      </c>
      <c r="P37" s="188">
        <f t="shared" si="9"/>
        <v>0.000009</v>
      </c>
      <c r="Q37" s="188">
        <f t="shared" si="10"/>
        <v>0.00002336111111</v>
      </c>
      <c r="R37" s="189"/>
      <c r="S37" s="188">
        <f t="shared" si="11"/>
        <v>0.000016</v>
      </c>
      <c r="T37" s="188">
        <f t="shared" si="12"/>
        <v>0.0000140625</v>
      </c>
      <c r="U37" s="190"/>
      <c r="V37" s="190">
        <f t="shared" si="13"/>
        <v>0.000036</v>
      </c>
      <c r="W37" s="191">
        <f t="shared" si="14"/>
        <v>0.000001</v>
      </c>
    </row>
    <row r="38" ht="22.5" customHeight="1">
      <c r="A38" s="176"/>
      <c r="B38" s="124"/>
      <c r="C38" s="124"/>
      <c r="D38" s="56"/>
      <c r="E38" s="56"/>
      <c r="F38" s="177"/>
      <c r="G38" s="168"/>
      <c r="H38" s="180"/>
      <c r="I38" s="168"/>
      <c r="J38" s="168"/>
      <c r="K38" s="168"/>
      <c r="L38" s="168"/>
      <c r="M38" s="168"/>
      <c r="N38" s="168"/>
      <c r="O38" s="127">
        <v>12.0</v>
      </c>
      <c r="P38" s="192">
        <f t="shared" si="9"/>
        <v>0.000064</v>
      </c>
      <c r="Q38" s="192">
        <f t="shared" si="10"/>
        <v>0.00009669444444</v>
      </c>
      <c r="R38" s="193"/>
      <c r="S38" s="192">
        <f t="shared" si="11"/>
        <v>0.000064</v>
      </c>
      <c r="T38" s="192">
        <f t="shared" si="12"/>
        <v>0.0000000625</v>
      </c>
      <c r="U38" s="190"/>
      <c r="V38" s="190">
        <f t="shared" si="13"/>
        <v>0.000064</v>
      </c>
      <c r="W38" s="191">
        <f t="shared" si="14"/>
        <v>0.000001</v>
      </c>
    </row>
    <row r="39" ht="22.5" customHeight="1">
      <c r="A39" s="176"/>
      <c r="B39" s="124"/>
      <c r="C39" s="124"/>
      <c r="D39" s="56"/>
      <c r="E39" s="56"/>
      <c r="F39" s="177"/>
      <c r="G39" s="168"/>
      <c r="H39" s="180"/>
      <c r="I39" s="168"/>
      <c r="J39" s="168"/>
      <c r="K39" s="168"/>
      <c r="L39" s="168"/>
      <c r="M39" s="168"/>
      <c r="N39" s="168"/>
      <c r="O39" s="197" t="s">
        <v>46</v>
      </c>
      <c r="P39" s="198">
        <f t="shared" ref="P39:Q39" si="20">SUM(P27:P38)</f>
        <v>0.0012</v>
      </c>
      <c r="Q39" s="198">
        <f t="shared" si="20"/>
        <v>0.001159666667</v>
      </c>
      <c r="R39" s="199"/>
      <c r="S39" s="198">
        <f t="shared" ref="S39:T39" si="21">SUM(S27:S38)</f>
        <v>0.002197</v>
      </c>
      <c r="T39" s="198">
        <f t="shared" si="21"/>
        <v>0.00147625</v>
      </c>
      <c r="U39" s="198"/>
      <c r="V39" s="198">
        <f t="shared" ref="V39:W39" si="22">SUM(V27:V38)</f>
        <v>0.000688</v>
      </c>
      <c r="W39" s="200">
        <f t="shared" si="22"/>
        <v>0.0001</v>
      </c>
    </row>
    <row r="40" ht="22.5" customHeight="1">
      <c r="A40" s="176"/>
      <c r="B40" s="124"/>
      <c r="C40" s="124"/>
      <c r="D40" s="56"/>
      <c r="E40" s="56"/>
      <c r="F40" s="177"/>
      <c r="G40" s="168"/>
      <c r="H40" s="180"/>
      <c r="I40" s="168"/>
      <c r="J40" s="168"/>
      <c r="K40" s="168"/>
      <c r="L40" s="168"/>
      <c r="M40" s="168"/>
      <c r="N40" s="168"/>
      <c r="O40" s="197" t="s">
        <v>47</v>
      </c>
      <c r="P40" s="199">
        <f t="shared" ref="P40:Q40" si="23">P39/12</f>
        <v>0.0001</v>
      </c>
      <c r="Q40" s="199">
        <f t="shared" si="23"/>
        <v>0.00009663888889</v>
      </c>
      <c r="R40" s="199"/>
      <c r="S40" s="199">
        <f t="shared" ref="S40:T40" si="24">S39/12</f>
        <v>0.0001830833333</v>
      </c>
      <c r="T40" s="199">
        <f t="shared" si="24"/>
        <v>0.0001230208333</v>
      </c>
      <c r="U40" s="198"/>
      <c r="V40" s="199">
        <f t="shared" ref="V40:W40" si="25">V39/12</f>
        <v>0.00005733333333</v>
      </c>
      <c r="W40" s="201">
        <f t="shared" si="25"/>
        <v>0.000008333333333</v>
      </c>
    </row>
    <row r="41" ht="22.5" customHeight="1">
      <c r="A41" s="176"/>
      <c r="B41" s="124"/>
      <c r="C41" s="124"/>
      <c r="D41" s="56"/>
      <c r="E41" s="56"/>
      <c r="F41" s="177"/>
      <c r="G41" s="168"/>
      <c r="H41" s="180"/>
      <c r="I41" s="168"/>
      <c r="J41" s="168"/>
      <c r="K41" s="168"/>
      <c r="L41" s="168"/>
      <c r="M41" s="168"/>
      <c r="N41" s="168"/>
      <c r="O41" s="202"/>
      <c r="P41" s="202"/>
      <c r="Q41" s="2"/>
      <c r="R41" s="2"/>
      <c r="S41" s="2"/>
      <c r="T41" s="2"/>
      <c r="U41" s="2"/>
      <c r="V41" s="2"/>
      <c r="W41" s="203"/>
    </row>
    <row r="42" ht="22.5" customHeight="1">
      <c r="A42" s="176"/>
      <c r="B42" s="124"/>
      <c r="C42" s="124"/>
      <c r="D42" s="56"/>
      <c r="E42" s="56"/>
      <c r="F42" s="177"/>
      <c r="G42" s="168"/>
      <c r="H42" s="180"/>
      <c r="I42" s="168"/>
      <c r="J42" s="168"/>
      <c r="K42" s="168"/>
      <c r="L42" s="168"/>
      <c r="M42" s="168"/>
      <c r="N42" s="168"/>
      <c r="O42" s="168"/>
      <c r="P42" s="168"/>
      <c r="W42" s="68"/>
    </row>
    <row r="43" ht="22.5" customHeight="1">
      <c r="A43" s="176"/>
      <c r="B43" s="124"/>
      <c r="C43" s="124"/>
      <c r="D43" s="56"/>
      <c r="E43" s="56"/>
      <c r="F43" s="177"/>
      <c r="G43" s="168"/>
      <c r="H43" s="180"/>
      <c r="I43" s="168"/>
      <c r="J43" s="204" t="s">
        <v>48</v>
      </c>
      <c r="K43" s="205">
        <f>(Q23*S23*V23)*N20</f>
        <v>6</v>
      </c>
      <c r="L43" s="168"/>
      <c r="M43" s="168"/>
      <c r="N43" s="168"/>
      <c r="O43" s="168"/>
      <c r="W43" s="68"/>
    </row>
    <row r="44" ht="22.5" customHeight="1">
      <c r="A44" s="176"/>
      <c r="B44" s="124"/>
      <c r="C44" s="124"/>
      <c r="D44" s="56"/>
      <c r="E44" s="56"/>
      <c r="F44" s="177"/>
      <c r="G44" s="168"/>
      <c r="H44" s="180"/>
      <c r="I44" s="168"/>
      <c r="J44" s="168"/>
      <c r="K44" s="168"/>
      <c r="L44" s="168"/>
      <c r="M44" s="168"/>
      <c r="N44" s="168"/>
      <c r="O44" s="168"/>
      <c r="W44" s="68"/>
    </row>
    <row r="45" ht="22.5" customHeight="1">
      <c r="A45" s="176"/>
      <c r="B45" s="124"/>
      <c r="C45" s="124"/>
      <c r="D45" s="56"/>
      <c r="E45" s="56"/>
      <c r="F45" s="177"/>
      <c r="G45" s="168"/>
      <c r="H45" s="180"/>
      <c r="I45" s="127" t="s">
        <v>38</v>
      </c>
      <c r="J45" s="206" t="s">
        <v>51</v>
      </c>
      <c r="K45" s="207" t="s">
        <v>52</v>
      </c>
      <c r="L45" s="207" t="s">
        <v>53</v>
      </c>
      <c r="M45" s="208" t="s">
        <v>16</v>
      </c>
      <c r="N45" s="6" t="s">
        <v>56</v>
      </c>
      <c r="O45" s="168"/>
      <c r="W45" s="68"/>
    </row>
    <row r="46" ht="22.5" customHeight="1">
      <c r="A46" s="176"/>
      <c r="B46" s="124"/>
      <c r="C46" s="124"/>
      <c r="D46" s="56"/>
      <c r="E46" s="56"/>
      <c r="F46" s="177"/>
      <c r="G46" s="168"/>
      <c r="H46" s="180"/>
      <c r="I46" s="127">
        <v>1.0</v>
      </c>
      <c r="J46" s="209">
        <f t="shared" ref="J46:J57" si="26">M22</f>
        <v>6.5698</v>
      </c>
      <c r="K46" s="210">
        <f t="shared" ref="K46:K57" si="27">abs(J46-K$43)^2</f>
        <v>0.32467204</v>
      </c>
      <c r="L46" s="210">
        <f t="shared" ref="L46:L57" si="28">ABS(J46-J$58/12)^2</f>
        <v>0.5464706029</v>
      </c>
      <c r="M46" s="211">
        <f t="shared" ref="M46:M57" si="29">B5</f>
        <v>0.17</v>
      </c>
      <c r="N46" s="106">
        <f t="shared" ref="N46:N57" si="30">ABS(K$43-J46)/K$43</f>
        <v>0.09496666667</v>
      </c>
      <c r="O46" s="168"/>
      <c r="W46" s="68"/>
    </row>
    <row r="47" ht="22.5" customHeight="1">
      <c r="A47" s="176"/>
      <c r="B47" s="124"/>
      <c r="C47" s="124"/>
      <c r="D47" s="56"/>
      <c r="E47" s="56"/>
      <c r="F47" s="177"/>
      <c r="G47" s="168"/>
      <c r="H47" s="180"/>
      <c r="I47" s="127">
        <v>2.0</v>
      </c>
      <c r="J47" s="212">
        <f t="shared" si="26"/>
        <v>5.83881</v>
      </c>
      <c r="K47" s="210">
        <f t="shared" si="27"/>
        <v>0.0259822161</v>
      </c>
      <c r="L47" s="210">
        <f t="shared" si="28"/>
        <v>0.00006800476225</v>
      </c>
      <c r="M47" s="213">
        <f t="shared" si="29"/>
        <v>0.35</v>
      </c>
      <c r="N47" s="106">
        <f t="shared" si="30"/>
        <v>0.026865</v>
      </c>
      <c r="O47" s="168"/>
      <c r="W47" s="68"/>
    </row>
    <row r="48" ht="22.5" customHeight="1">
      <c r="A48" s="176"/>
      <c r="B48" s="124"/>
      <c r="C48" s="124"/>
      <c r="D48" s="56"/>
      <c r="E48" s="56"/>
      <c r="F48" s="177"/>
      <c r="G48" s="168"/>
      <c r="H48" s="180"/>
      <c r="I48" s="127">
        <v>3.0</v>
      </c>
      <c r="J48" s="209">
        <f t="shared" si="26"/>
        <v>5.772789</v>
      </c>
      <c r="K48" s="210">
        <f t="shared" si="27"/>
        <v>0.05162483852</v>
      </c>
      <c r="L48" s="210">
        <f t="shared" si="28"/>
        <v>0.00333789285</v>
      </c>
      <c r="M48" s="211">
        <f t="shared" si="29"/>
        <v>0.25</v>
      </c>
      <c r="N48" s="106">
        <f t="shared" si="30"/>
        <v>0.0378685</v>
      </c>
      <c r="O48" s="168"/>
      <c r="W48" s="68"/>
    </row>
    <row r="49" ht="22.5" customHeight="1">
      <c r="A49" s="176"/>
      <c r="B49" s="124"/>
      <c r="C49" s="124"/>
      <c r="D49" s="56"/>
      <c r="E49" s="56"/>
      <c r="F49" s="177"/>
      <c r="G49" s="168"/>
      <c r="H49" s="180"/>
      <c r="I49" s="127">
        <v>4.0</v>
      </c>
      <c r="J49" s="212">
        <f t="shared" si="26"/>
        <v>6.173376</v>
      </c>
      <c r="K49" s="210">
        <f t="shared" si="27"/>
        <v>0.03005923738</v>
      </c>
      <c r="L49" s="210">
        <f t="shared" si="28"/>
        <v>0.1175204102</v>
      </c>
      <c r="M49" s="213">
        <f t="shared" si="29"/>
        <v>0.31</v>
      </c>
      <c r="N49" s="106">
        <f t="shared" si="30"/>
        <v>0.028896</v>
      </c>
      <c r="O49" s="168"/>
      <c r="W49" s="68"/>
    </row>
    <row r="50" ht="22.5" customHeight="1">
      <c r="A50" s="176"/>
      <c r="B50" s="124"/>
      <c r="C50" s="124"/>
      <c r="D50" s="56"/>
      <c r="E50" s="56"/>
      <c r="F50" s="177"/>
      <c r="G50" s="168"/>
      <c r="H50" s="180"/>
      <c r="I50" s="127">
        <v>5.0</v>
      </c>
      <c r="J50" s="209">
        <f t="shared" si="26"/>
        <v>5.4717</v>
      </c>
      <c r="K50" s="210">
        <f t="shared" si="27"/>
        <v>0.27910089</v>
      </c>
      <c r="L50" s="210">
        <f t="shared" si="28"/>
        <v>0.1287830116</v>
      </c>
      <c r="M50" s="211">
        <f t="shared" si="29"/>
        <v>0.28</v>
      </c>
      <c r="N50" s="106">
        <f t="shared" si="30"/>
        <v>0.08805</v>
      </c>
      <c r="O50" s="168"/>
      <c r="W50" s="68"/>
    </row>
    <row r="51" ht="22.5" customHeight="1">
      <c r="A51" s="176"/>
      <c r="B51" s="124"/>
      <c r="C51" s="124"/>
      <c r="D51" s="56"/>
      <c r="E51" s="56"/>
      <c r="F51" s="177"/>
      <c r="G51" s="168"/>
      <c r="H51" s="180"/>
      <c r="I51" s="127">
        <v>6.0</v>
      </c>
      <c r="J51" s="212">
        <f t="shared" si="26"/>
        <v>6.01524</v>
      </c>
      <c r="K51" s="210">
        <f t="shared" si="27"/>
        <v>0.0002322576</v>
      </c>
      <c r="L51" s="210">
        <f t="shared" si="28"/>
        <v>0.03410540965</v>
      </c>
      <c r="M51" s="213">
        <f t="shared" si="29"/>
        <v>0.24</v>
      </c>
      <c r="N51" s="106">
        <f t="shared" si="30"/>
        <v>0.00254</v>
      </c>
      <c r="O51" s="168"/>
      <c r="W51" s="68"/>
    </row>
    <row r="52" ht="22.5" customHeight="1">
      <c r="A52" s="176"/>
      <c r="B52" s="124"/>
      <c r="C52" s="124"/>
      <c r="D52" s="56"/>
      <c r="E52" s="56"/>
      <c r="F52" s="177"/>
      <c r="G52" s="168"/>
      <c r="H52" s="180"/>
      <c r="I52" s="127">
        <v>7.0</v>
      </c>
      <c r="J52" s="209">
        <f t="shared" si="26"/>
        <v>4.928553</v>
      </c>
      <c r="K52" s="210">
        <f t="shared" si="27"/>
        <v>1.147998674</v>
      </c>
      <c r="L52" s="210">
        <f t="shared" si="28"/>
        <v>0.8136229421</v>
      </c>
      <c r="M52" s="211">
        <f t="shared" si="29"/>
        <v>0.17</v>
      </c>
      <c r="N52" s="106">
        <f t="shared" si="30"/>
        <v>0.1785745</v>
      </c>
      <c r="O52" s="168"/>
      <c r="W52" s="68"/>
    </row>
    <row r="53" ht="22.5" customHeight="1">
      <c r="A53" s="176"/>
      <c r="B53" s="124"/>
      <c r="C53" s="124"/>
      <c r="D53" s="56"/>
      <c r="E53" s="56"/>
      <c r="F53" s="177"/>
      <c r="G53" s="168"/>
      <c r="H53" s="180"/>
      <c r="I53" s="127">
        <v>8.0</v>
      </c>
      <c r="J53" s="212">
        <f t="shared" si="26"/>
        <v>6.03801</v>
      </c>
      <c r="K53" s="210">
        <f t="shared" si="27"/>
        <v>0.0014447601</v>
      </c>
      <c r="L53" s="210">
        <f t="shared" si="28"/>
        <v>0.04303405036</v>
      </c>
      <c r="M53" s="213">
        <f t="shared" si="29"/>
        <v>0.27</v>
      </c>
      <c r="N53" s="106">
        <f t="shared" si="30"/>
        <v>0.006335</v>
      </c>
      <c r="O53" s="168"/>
      <c r="W53" s="68"/>
    </row>
    <row r="54" ht="22.5" customHeight="1">
      <c r="A54" s="176"/>
      <c r="B54" s="124"/>
      <c r="C54" s="124"/>
      <c r="D54" s="56"/>
      <c r="E54" s="56"/>
      <c r="F54" s="177"/>
      <c r="G54" s="168"/>
      <c r="H54" s="180"/>
      <c r="I54" s="127">
        <v>9.0</v>
      </c>
      <c r="J54" s="209">
        <f t="shared" si="26"/>
        <v>6.06018</v>
      </c>
      <c r="K54" s="210">
        <f t="shared" si="27"/>
        <v>0.0036216324</v>
      </c>
      <c r="L54" s="210">
        <f t="shared" si="28"/>
        <v>0.05272373707</v>
      </c>
      <c r="M54" s="211">
        <f t="shared" si="29"/>
        <v>0.29</v>
      </c>
      <c r="N54" s="106">
        <f t="shared" si="30"/>
        <v>0.01003</v>
      </c>
      <c r="O54" s="168"/>
      <c r="W54" s="68"/>
    </row>
    <row r="55" ht="22.5" customHeight="1">
      <c r="A55" s="176"/>
      <c r="B55" s="124"/>
      <c r="C55" s="124"/>
      <c r="D55" s="56"/>
      <c r="E55" s="56"/>
      <c r="F55" s="177"/>
      <c r="G55" s="168"/>
      <c r="H55" s="180"/>
      <c r="I55" s="127">
        <v>10.0</v>
      </c>
      <c r="J55" s="212">
        <f t="shared" si="26"/>
        <v>5.81532</v>
      </c>
      <c r="K55" s="210">
        <f t="shared" si="27"/>
        <v>0.0341067024</v>
      </c>
      <c r="L55" s="210">
        <f t="shared" si="28"/>
        <v>0.0002323642923</v>
      </c>
      <c r="M55" s="213">
        <f t="shared" si="29"/>
        <v>0.23</v>
      </c>
      <c r="N55" s="106">
        <f t="shared" si="30"/>
        <v>0.03078</v>
      </c>
      <c r="O55" s="168"/>
      <c r="W55" s="68"/>
    </row>
    <row r="56" ht="22.5" customHeight="1">
      <c r="A56" s="176"/>
      <c r="B56" s="124"/>
      <c r="C56" s="124"/>
      <c r="D56" s="56"/>
      <c r="E56" s="56"/>
      <c r="F56" s="177"/>
      <c r="G56" s="168"/>
      <c r="H56" s="90"/>
      <c r="I56" s="127">
        <v>11.0</v>
      </c>
      <c r="J56" s="209">
        <f t="shared" si="26"/>
        <v>5.695272</v>
      </c>
      <c r="K56" s="210">
        <f t="shared" si="27"/>
        <v>0.09285915398</v>
      </c>
      <c r="L56" s="210">
        <f t="shared" si="28"/>
        <v>0.01830378997</v>
      </c>
      <c r="M56" s="211">
        <f t="shared" si="29"/>
        <v>0.33</v>
      </c>
      <c r="N56" s="214">
        <f t="shared" si="30"/>
        <v>0.050788</v>
      </c>
      <c r="O56" s="168"/>
      <c r="W56" s="68"/>
    </row>
    <row r="57" ht="22.5" customHeight="1">
      <c r="A57" s="176"/>
      <c r="B57" s="124"/>
      <c r="C57" s="124"/>
      <c r="D57" s="56"/>
      <c r="E57" s="56"/>
      <c r="F57" s="177"/>
      <c r="G57" s="168"/>
      <c r="H57" s="180"/>
      <c r="I57" s="127">
        <v>12.0</v>
      </c>
      <c r="J57" s="215">
        <f t="shared" si="26"/>
        <v>5.587712</v>
      </c>
      <c r="K57" s="216">
        <f t="shared" si="27"/>
        <v>0.1699813949</v>
      </c>
      <c r="L57" s="216">
        <f t="shared" si="28"/>
        <v>0.05897685105</v>
      </c>
      <c r="M57" s="217">
        <f t="shared" si="29"/>
        <v>0.19</v>
      </c>
      <c r="N57" s="218">
        <f t="shared" si="30"/>
        <v>0.06871466667</v>
      </c>
      <c r="O57" s="168"/>
      <c r="P57" s="168"/>
      <c r="W57" s="68"/>
    </row>
    <row r="58" ht="22.5" customHeight="1">
      <c r="A58" s="176"/>
      <c r="B58" s="124"/>
      <c r="C58" s="124"/>
      <c r="D58" s="56"/>
      <c r="E58" s="56"/>
      <c r="F58" s="177"/>
      <c r="G58" s="168"/>
      <c r="H58" s="219"/>
      <c r="I58" s="197" t="s">
        <v>46</v>
      </c>
      <c r="J58" s="220">
        <f t="shared" ref="J58:N58" si="31">SUM(J46:J57)</f>
        <v>69.966762</v>
      </c>
      <c r="K58" s="221">
        <f t="shared" si="31"/>
        <v>2.161683797</v>
      </c>
      <c r="L58" s="221">
        <f t="shared" si="31"/>
        <v>1.817179067</v>
      </c>
      <c r="M58" s="222">
        <f t="shared" si="31"/>
        <v>3.08</v>
      </c>
      <c r="N58" s="223">
        <f t="shared" si="31"/>
        <v>0.6244083333</v>
      </c>
      <c r="O58" s="168"/>
      <c r="P58" s="168"/>
      <c r="W58" s="68"/>
    </row>
    <row r="59" ht="22.5" customHeight="1">
      <c r="A59" s="176"/>
      <c r="B59" s="124"/>
      <c r="C59" s="124"/>
      <c r="D59" s="56"/>
      <c r="E59" s="56"/>
      <c r="F59" s="177"/>
      <c r="G59" s="168"/>
      <c r="H59" s="224"/>
      <c r="I59" s="225"/>
      <c r="J59" s="225"/>
      <c r="K59" s="225"/>
      <c r="L59" s="225"/>
      <c r="M59" s="225"/>
      <c r="N59" s="226"/>
      <c r="O59" s="225"/>
      <c r="P59" s="225"/>
      <c r="Q59" s="117"/>
      <c r="R59" s="117"/>
      <c r="S59" s="117"/>
      <c r="T59" s="117"/>
      <c r="U59" s="117"/>
      <c r="V59" s="117"/>
      <c r="W59" s="118"/>
    </row>
    <row r="60" ht="22.5" customHeight="1">
      <c r="A60" s="176"/>
      <c r="B60" s="124"/>
      <c r="C60" s="124"/>
      <c r="D60" s="56"/>
      <c r="E60" s="56"/>
      <c r="F60" s="177"/>
      <c r="G60" s="168"/>
      <c r="H60" s="168"/>
      <c r="I60" s="168"/>
      <c r="J60" s="168"/>
      <c r="K60" s="168"/>
      <c r="L60" s="168"/>
      <c r="M60" s="168"/>
      <c r="N60" s="15"/>
      <c r="O60" s="168"/>
      <c r="P60" s="168"/>
    </row>
    <row r="61" ht="22.5" customHeight="1">
      <c r="A61" s="176"/>
      <c r="B61" s="124"/>
      <c r="C61" s="124"/>
      <c r="D61" s="56"/>
      <c r="E61" s="56"/>
      <c r="F61" s="177"/>
      <c r="G61" s="168"/>
      <c r="H61" s="168"/>
      <c r="I61" s="168"/>
      <c r="J61" s="168"/>
      <c r="K61" s="168"/>
      <c r="L61" s="168"/>
      <c r="M61" s="168"/>
      <c r="N61" s="227"/>
      <c r="O61" s="168"/>
      <c r="P61" s="168"/>
    </row>
    <row r="62" ht="22.5" customHeight="1">
      <c r="A62" s="176"/>
      <c r="B62" s="124"/>
      <c r="C62" s="124"/>
      <c r="D62" s="56"/>
      <c r="E62" s="56"/>
      <c r="F62" s="177"/>
      <c r="G62" s="168"/>
      <c r="H62" s="168"/>
      <c r="I62" s="168"/>
      <c r="J62" s="168"/>
      <c r="K62" s="168"/>
      <c r="L62" s="168"/>
      <c r="M62" s="168"/>
      <c r="N62" s="168"/>
      <c r="O62" s="168"/>
      <c r="P62" s="168"/>
    </row>
    <row r="63" ht="22.5" customHeight="1">
      <c r="A63" s="176"/>
      <c r="B63" s="124"/>
      <c r="C63" s="124"/>
      <c r="D63" s="56"/>
      <c r="E63" s="56"/>
      <c r="F63" s="177"/>
      <c r="G63" s="168"/>
      <c r="H63" s="168"/>
      <c r="I63" s="168"/>
      <c r="J63" s="168"/>
      <c r="K63" s="168"/>
      <c r="L63" s="168"/>
      <c r="M63" s="168"/>
      <c r="N63" s="168"/>
      <c r="O63" s="168"/>
      <c r="P63" s="168"/>
    </row>
    <row r="64" ht="22.5" customHeight="1">
      <c r="A64" s="176"/>
      <c r="B64" s="124"/>
      <c r="C64" s="124"/>
      <c r="D64" s="56"/>
      <c r="E64" s="56"/>
      <c r="F64" s="177"/>
      <c r="G64" s="168"/>
      <c r="H64" s="168"/>
      <c r="I64" s="168"/>
      <c r="J64" s="168"/>
      <c r="K64" s="168"/>
      <c r="L64" s="168"/>
      <c r="M64" s="168"/>
      <c r="N64" s="168"/>
      <c r="O64" s="168"/>
      <c r="P64" s="168"/>
    </row>
    <row r="65" ht="22.5" customHeight="1">
      <c r="A65" s="176"/>
      <c r="B65" s="124"/>
      <c r="C65" s="124"/>
      <c r="D65" s="56"/>
      <c r="E65" s="56"/>
      <c r="F65" s="177"/>
      <c r="G65" s="168"/>
      <c r="H65" s="168"/>
      <c r="I65" s="168"/>
      <c r="J65" s="168"/>
      <c r="K65" s="168"/>
      <c r="L65" s="168"/>
      <c r="M65" s="168"/>
      <c r="N65" s="168"/>
      <c r="O65" s="168"/>
      <c r="P65" s="168"/>
    </row>
    <row r="66" ht="22.5" customHeight="1">
      <c r="A66" s="176"/>
      <c r="B66" s="124"/>
      <c r="C66" s="124"/>
      <c r="D66" s="56"/>
      <c r="E66" s="56"/>
      <c r="F66" s="177"/>
      <c r="G66" s="168"/>
      <c r="H66" s="168"/>
      <c r="I66" s="168"/>
      <c r="J66" s="168"/>
      <c r="K66" s="168"/>
      <c r="L66" s="168"/>
      <c r="M66" s="168"/>
      <c r="N66" s="168"/>
      <c r="O66" s="168"/>
      <c r="P66" s="168"/>
    </row>
    <row r="67" ht="22.5" customHeight="1">
      <c r="A67" s="176"/>
      <c r="B67" s="124"/>
      <c r="C67" s="124"/>
      <c r="D67" s="56"/>
      <c r="E67" s="56"/>
      <c r="F67" s="177"/>
      <c r="G67" s="168"/>
      <c r="H67" s="168"/>
      <c r="I67" s="168"/>
      <c r="J67" s="168"/>
      <c r="K67" s="168"/>
      <c r="L67" s="168"/>
      <c r="M67" s="168"/>
      <c r="N67" s="168"/>
      <c r="O67" s="168"/>
      <c r="P67" s="168"/>
    </row>
    <row r="68" ht="22.5" customHeight="1">
      <c r="A68" s="176"/>
      <c r="B68" s="124"/>
      <c r="C68" s="124"/>
      <c r="D68" s="56"/>
      <c r="E68" s="56"/>
      <c r="F68" s="177"/>
      <c r="G68" s="168"/>
      <c r="H68" s="168"/>
      <c r="I68" s="168"/>
      <c r="J68" s="168"/>
      <c r="K68" s="168"/>
      <c r="L68" s="168"/>
      <c r="M68" s="168"/>
      <c r="N68" s="168"/>
      <c r="O68" s="168"/>
      <c r="P68" s="168"/>
    </row>
    <row r="69" ht="22.5" customHeight="1">
      <c r="A69" s="176"/>
      <c r="B69" s="124"/>
      <c r="C69" s="124"/>
      <c r="D69" s="56"/>
      <c r="E69" s="56"/>
      <c r="F69" s="177"/>
      <c r="G69" s="168"/>
      <c r="H69" s="168"/>
      <c r="I69" s="168"/>
      <c r="J69" s="168"/>
      <c r="K69" s="168"/>
      <c r="L69" s="168"/>
      <c r="M69" s="168"/>
      <c r="N69" s="168"/>
      <c r="O69" s="168"/>
      <c r="P69" s="168"/>
    </row>
    <row r="70" ht="22.5" customHeight="1">
      <c r="A70" s="176"/>
      <c r="B70" s="124"/>
      <c r="C70" s="124"/>
      <c r="D70" s="56"/>
      <c r="E70" s="56"/>
      <c r="F70" s="177"/>
      <c r="G70" s="168"/>
      <c r="H70" s="168"/>
      <c r="I70" s="168"/>
      <c r="J70" s="168"/>
      <c r="K70" s="168"/>
      <c r="L70" s="168"/>
      <c r="M70" s="168"/>
      <c r="N70" s="168"/>
      <c r="O70" s="168"/>
      <c r="P70" s="168"/>
    </row>
    <row r="71" ht="22.5" customHeight="1">
      <c r="A71" s="176"/>
      <c r="B71" s="124"/>
      <c r="C71" s="124"/>
      <c r="D71" s="56"/>
      <c r="E71" s="56"/>
      <c r="F71" s="177"/>
      <c r="G71" s="168"/>
      <c r="H71" s="168"/>
      <c r="I71" s="168"/>
      <c r="J71" s="168"/>
      <c r="K71" s="168"/>
      <c r="L71" s="168"/>
      <c r="M71" s="168"/>
      <c r="N71" s="168"/>
      <c r="O71" s="168"/>
      <c r="P71" s="168"/>
    </row>
    <row r="72" ht="22.5" customHeight="1">
      <c r="A72" s="176"/>
      <c r="B72" s="124"/>
      <c r="C72" s="124"/>
      <c r="D72" s="56"/>
      <c r="E72" s="56"/>
      <c r="F72" s="177"/>
      <c r="G72" s="168"/>
      <c r="H72" s="168"/>
      <c r="I72" s="168"/>
      <c r="J72" s="168"/>
      <c r="K72" s="168"/>
      <c r="L72" s="168"/>
      <c r="M72" s="168"/>
      <c r="N72" s="168"/>
      <c r="O72" s="168"/>
      <c r="P72" s="168"/>
    </row>
    <row r="73" ht="22.5" customHeight="1">
      <c r="A73" s="176"/>
      <c r="B73" s="124"/>
      <c r="C73" s="124"/>
      <c r="D73" s="56"/>
      <c r="E73" s="56"/>
      <c r="F73" s="177"/>
      <c r="G73" s="168"/>
      <c r="H73" s="168"/>
      <c r="I73" s="168"/>
      <c r="J73" s="168"/>
      <c r="K73" s="168"/>
      <c r="L73" s="168"/>
      <c r="M73" s="168"/>
      <c r="N73" s="168"/>
      <c r="O73" s="168"/>
      <c r="P73" s="168"/>
    </row>
    <row r="74" ht="22.5" customHeight="1">
      <c r="A74" s="176"/>
      <c r="B74" s="124"/>
      <c r="C74" s="124"/>
      <c r="D74" s="56"/>
      <c r="E74" s="56"/>
      <c r="F74" s="177"/>
      <c r="G74" s="168"/>
      <c r="H74" s="168"/>
      <c r="I74" s="168"/>
      <c r="J74" s="168"/>
      <c r="K74" s="168"/>
      <c r="L74" s="168"/>
      <c r="M74" s="168"/>
      <c r="N74" s="168"/>
      <c r="O74" s="168"/>
      <c r="P74" s="168"/>
    </row>
    <row r="75" ht="22.5" customHeight="1">
      <c r="A75" s="176"/>
      <c r="B75" s="124"/>
      <c r="C75" s="124"/>
      <c r="D75" s="56"/>
      <c r="E75" s="56"/>
      <c r="F75" s="177"/>
      <c r="G75" s="168"/>
      <c r="H75" s="168"/>
      <c r="I75" s="168"/>
      <c r="J75" s="168"/>
      <c r="K75" s="168"/>
      <c r="L75" s="168"/>
      <c r="M75" s="168"/>
      <c r="N75" s="168"/>
      <c r="O75" s="168"/>
      <c r="P75" s="168"/>
    </row>
    <row r="76" ht="22.5" customHeight="1">
      <c r="A76" s="176"/>
      <c r="B76" s="124"/>
      <c r="C76" s="124"/>
      <c r="D76" s="56"/>
      <c r="E76" s="56"/>
      <c r="F76" s="177"/>
      <c r="G76" s="168"/>
      <c r="H76" s="168"/>
      <c r="I76" s="168"/>
      <c r="J76" s="168"/>
      <c r="K76" s="168"/>
      <c r="L76" s="168"/>
      <c r="M76" s="168"/>
      <c r="N76" s="168"/>
      <c r="O76" s="168"/>
      <c r="P76" s="168"/>
    </row>
    <row r="77" ht="22.5" customHeight="1">
      <c r="A77" s="176"/>
      <c r="B77" s="124"/>
      <c r="C77" s="124"/>
      <c r="D77" s="56"/>
      <c r="E77" s="56"/>
      <c r="F77" s="177"/>
      <c r="G77" s="168"/>
      <c r="H77" s="168"/>
      <c r="I77" s="168"/>
      <c r="J77" s="168"/>
      <c r="K77" s="168"/>
      <c r="L77" s="168"/>
      <c r="M77" s="168"/>
      <c r="N77" s="168"/>
      <c r="O77" s="168"/>
      <c r="P77" s="168"/>
    </row>
    <row r="78" ht="22.5" customHeight="1">
      <c r="A78" s="176"/>
      <c r="B78" s="124"/>
      <c r="C78" s="124"/>
      <c r="D78" s="56"/>
      <c r="E78" s="56"/>
      <c r="F78" s="177"/>
      <c r="G78" s="168"/>
      <c r="H78" s="168"/>
      <c r="I78" s="168"/>
      <c r="J78" s="168"/>
      <c r="K78" s="168"/>
      <c r="L78" s="168"/>
      <c r="M78" s="168"/>
      <c r="N78" s="168"/>
      <c r="O78" s="168"/>
      <c r="P78" s="168"/>
    </row>
    <row r="79" ht="22.5" customHeight="1">
      <c r="A79" s="176"/>
      <c r="B79" s="124"/>
      <c r="C79" s="124"/>
      <c r="D79" s="56"/>
      <c r="E79" s="56"/>
      <c r="F79" s="177"/>
      <c r="G79" s="168"/>
      <c r="H79" s="168"/>
      <c r="I79" s="168"/>
      <c r="J79" s="168"/>
      <c r="K79" s="168"/>
      <c r="L79" s="168"/>
      <c r="M79" s="168"/>
      <c r="N79" s="168"/>
      <c r="O79" s="168"/>
      <c r="P79" s="168"/>
    </row>
    <row r="80" ht="22.5" customHeight="1">
      <c r="A80" s="176"/>
      <c r="B80" s="124"/>
      <c r="C80" s="124"/>
      <c r="D80" s="56"/>
      <c r="E80" s="56"/>
      <c r="F80" s="177"/>
      <c r="G80" s="168"/>
      <c r="H80" s="168"/>
      <c r="I80" s="168"/>
      <c r="J80" s="168"/>
      <c r="K80" s="168"/>
      <c r="L80" s="168"/>
      <c r="M80" s="168"/>
      <c r="N80" s="168"/>
      <c r="O80" s="168"/>
      <c r="P80" s="168"/>
    </row>
    <row r="81" ht="22.5" customHeight="1">
      <c r="A81" s="176"/>
      <c r="B81" s="124"/>
      <c r="C81" s="124"/>
      <c r="D81" s="56"/>
      <c r="E81" s="56"/>
      <c r="F81" s="177"/>
      <c r="G81" s="168"/>
      <c r="H81" s="168"/>
      <c r="I81" s="168"/>
      <c r="J81" s="168"/>
      <c r="K81" s="168"/>
      <c r="L81" s="168"/>
      <c r="M81" s="168"/>
      <c r="N81" s="168"/>
      <c r="O81" s="168"/>
      <c r="P81" s="168"/>
    </row>
    <row r="82" ht="22.5" customHeight="1">
      <c r="A82" s="176"/>
      <c r="B82" s="124"/>
      <c r="C82" s="124"/>
      <c r="D82" s="56"/>
      <c r="E82" s="56"/>
      <c r="F82" s="177"/>
      <c r="G82" s="168"/>
      <c r="H82" s="168"/>
      <c r="I82" s="168"/>
      <c r="J82" s="168"/>
      <c r="K82" s="168"/>
      <c r="L82" s="168"/>
      <c r="M82" s="168"/>
      <c r="N82" s="168"/>
      <c r="O82" s="168"/>
      <c r="P82" s="168"/>
    </row>
    <row r="83" ht="22.5" customHeight="1">
      <c r="A83" s="176"/>
      <c r="B83" s="124"/>
      <c r="C83" s="124"/>
      <c r="D83" s="56"/>
      <c r="E83" s="56"/>
      <c r="F83" s="177"/>
      <c r="G83" s="168"/>
      <c r="H83" s="168"/>
      <c r="I83" s="168"/>
      <c r="J83" s="168"/>
      <c r="K83" s="168"/>
      <c r="L83" s="168"/>
      <c r="M83" s="168"/>
      <c r="N83" s="168"/>
      <c r="O83" s="168"/>
      <c r="P83" s="168"/>
    </row>
    <row r="84" ht="22.5" customHeight="1">
      <c r="A84" s="176"/>
      <c r="B84" s="124"/>
      <c r="C84" s="124"/>
      <c r="D84" s="56"/>
      <c r="E84" s="56"/>
      <c r="F84" s="177"/>
      <c r="G84" s="168"/>
      <c r="H84" s="168"/>
      <c r="I84" s="168"/>
      <c r="J84" s="168"/>
      <c r="K84" s="168"/>
      <c r="L84" s="168"/>
      <c r="M84" s="168"/>
      <c r="N84" s="168"/>
      <c r="O84" s="168"/>
      <c r="P84" s="168"/>
    </row>
    <row r="85" ht="22.5" customHeight="1">
      <c r="A85" s="176"/>
      <c r="B85" s="124"/>
      <c r="C85" s="124"/>
      <c r="D85" s="56"/>
      <c r="E85" s="56"/>
      <c r="F85" s="177"/>
      <c r="G85" s="168"/>
      <c r="H85" s="168"/>
      <c r="I85" s="168"/>
      <c r="J85" s="168"/>
      <c r="K85" s="168"/>
      <c r="L85" s="168"/>
      <c r="M85" s="168"/>
      <c r="N85" s="168"/>
      <c r="O85" s="168"/>
      <c r="P85" s="168"/>
    </row>
    <row r="86" ht="22.5" customHeight="1">
      <c r="A86" s="176"/>
      <c r="B86" s="124"/>
      <c r="C86" s="124"/>
      <c r="D86" s="56"/>
      <c r="E86" s="56"/>
      <c r="F86" s="177"/>
      <c r="G86" s="168"/>
      <c r="H86" s="168"/>
      <c r="I86" s="168"/>
      <c r="J86" s="168"/>
      <c r="K86" s="168"/>
      <c r="L86" s="168"/>
      <c r="M86" s="168"/>
      <c r="N86" s="168"/>
      <c r="O86" s="168"/>
    </row>
    <row r="87" ht="22.5" customHeight="1">
      <c r="A87" s="176"/>
      <c r="B87" s="124"/>
      <c r="C87" s="124"/>
      <c r="D87" s="56"/>
      <c r="E87" s="56"/>
      <c r="F87" s="177"/>
      <c r="G87" s="168"/>
      <c r="H87" s="168"/>
      <c r="I87" s="168"/>
      <c r="J87" s="168"/>
      <c r="K87" s="168"/>
      <c r="L87" s="168"/>
      <c r="M87" s="168"/>
      <c r="N87" s="168"/>
      <c r="O87" s="168"/>
    </row>
    <row r="88">
      <c r="A88" s="90"/>
      <c r="F88" s="68"/>
      <c r="O88" s="168"/>
    </row>
    <row r="89">
      <c r="A89" s="90"/>
      <c r="F89" s="68"/>
    </row>
    <row r="90">
      <c r="A90" s="90"/>
      <c r="B90" s="95" t="s">
        <v>80</v>
      </c>
      <c r="C90" s="76">
        <v>6.0</v>
      </c>
      <c r="F90" s="68"/>
    </row>
    <row r="91">
      <c r="A91" s="93"/>
      <c r="B91" s="94"/>
      <c r="C91" s="94"/>
      <c r="D91" s="9"/>
      <c r="E91" s="94"/>
      <c r="F91" s="68"/>
    </row>
    <row r="92" ht="22.5" customHeight="1">
      <c r="A92" s="96" t="s">
        <v>50</v>
      </c>
      <c r="B92" s="6" t="s">
        <v>70</v>
      </c>
      <c r="C92" s="6" t="s">
        <v>51</v>
      </c>
      <c r="D92" s="6" t="s">
        <v>71</v>
      </c>
      <c r="E92" s="19" t="s">
        <v>15</v>
      </c>
      <c r="F92" s="97" t="s">
        <v>16</v>
      </c>
    </row>
    <row r="93" ht="22.5" customHeight="1">
      <c r="A93" s="228">
        <v>1.0</v>
      </c>
      <c r="B93" s="4"/>
      <c r="C93" s="100">
        <f t="shared" ref="C93:C104" si="32">F5</f>
        <v>7.156</v>
      </c>
      <c r="D93" s="229">
        <f t="shared" ref="D93:D104" si="33">abs(C93-C$90)^2</f>
        <v>1.336336</v>
      </c>
      <c r="E93" s="102">
        <f>(C93-Table_23_Analysis_of_estimated_volumes[[#TOTALS],[Calculated volume (L)]])^2</f>
        <v>0.5688930625</v>
      </c>
      <c r="F93" s="157">
        <f t="shared" ref="F93:F104" si="34">B5</f>
        <v>0.17</v>
      </c>
    </row>
    <row r="94" ht="22.5" customHeight="1">
      <c r="A94" s="228">
        <v>2.0</v>
      </c>
      <c r="B94" s="4"/>
      <c r="C94" s="100">
        <f t="shared" si="32"/>
        <v>6.428</v>
      </c>
      <c r="D94" s="229">
        <f t="shared" si="33"/>
        <v>0.183184</v>
      </c>
      <c r="E94" s="102">
        <f>(C94-Table_23_Analysis_of_estimated_volumes[[#TOTALS],[Calculated volume (L)]])^2</f>
        <v>0.0006890625</v>
      </c>
      <c r="F94" s="157">
        <f t="shared" si="34"/>
        <v>0.35</v>
      </c>
    </row>
    <row r="95" ht="22.5" customHeight="1">
      <c r="A95" s="228">
        <v>3.0</v>
      </c>
      <c r="B95" s="4"/>
      <c r="C95" s="100">
        <f t="shared" si="32"/>
        <v>6.345</v>
      </c>
      <c r="D95" s="229">
        <f t="shared" si="33"/>
        <v>0.119025</v>
      </c>
      <c r="E95" s="102">
        <f>(C95-Table_23_Analysis_of_estimated_volumes[[#TOTALS],[Calculated volume (L)]])^2</f>
        <v>0.0032205625</v>
      </c>
      <c r="F95" s="157">
        <f t="shared" si="34"/>
        <v>0.25</v>
      </c>
    </row>
    <row r="96" ht="22.5" customHeight="1">
      <c r="A96" s="228">
        <v>4.0</v>
      </c>
      <c r="B96" s="4"/>
      <c r="C96" s="100">
        <f t="shared" si="32"/>
        <v>6.774</v>
      </c>
      <c r="D96" s="229">
        <f t="shared" si="33"/>
        <v>0.599076</v>
      </c>
      <c r="E96" s="102">
        <f>(C96-Table_23_Analysis_of_estimated_volumes[[#TOTALS],[Calculated volume (L)]])^2</f>
        <v>0.1385700625</v>
      </c>
      <c r="F96" s="157">
        <f t="shared" si="34"/>
        <v>0.31</v>
      </c>
    </row>
    <row r="97" ht="22.5" customHeight="1">
      <c r="A97" s="228">
        <v>5.0</v>
      </c>
      <c r="B97" s="4"/>
      <c r="C97" s="100">
        <f t="shared" si="32"/>
        <v>6.009</v>
      </c>
      <c r="D97" s="229">
        <f t="shared" si="33"/>
        <v>0.000081</v>
      </c>
      <c r="E97" s="102">
        <f>(C97-Table_23_Analysis_of_estimated_volumes[[#TOTALS],[Calculated volume (L)]])^2</f>
        <v>0.1542525625</v>
      </c>
      <c r="F97" s="157">
        <f t="shared" si="34"/>
        <v>0.28</v>
      </c>
    </row>
    <row r="98" ht="22.5" customHeight="1">
      <c r="A98" s="228">
        <v>6.0</v>
      </c>
      <c r="B98" s="4"/>
      <c r="C98" s="100">
        <f t="shared" si="32"/>
        <v>6.612</v>
      </c>
      <c r="D98" s="229">
        <f t="shared" si="33"/>
        <v>0.374544</v>
      </c>
      <c r="E98" s="102">
        <f>(C98-Table_23_Analysis_of_estimated_volumes[[#TOTALS],[Calculated volume (L)]])^2</f>
        <v>0.0442050625</v>
      </c>
      <c r="F98" s="157">
        <f t="shared" si="34"/>
        <v>0.24</v>
      </c>
    </row>
    <row r="99" ht="22.5" customHeight="1">
      <c r="A99" s="228">
        <v>7.0</v>
      </c>
      <c r="B99" s="4"/>
      <c r="C99" s="100">
        <f t="shared" si="32"/>
        <v>5.466</v>
      </c>
      <c r="D99" s="229">
        <f t="shared" si="33"/>
        <v>0.285156</v>
      </c>
      <c r="E99" s="102">
        <f>(C99-Table_23_Analysis_of_estimated_volumes[[#TOTALS],[Calculated volume (L)]])^2</f>
        <v>0.8756280625</v>
      </c>
      <c r="F99" s="157">
        <f t="shared" si="34"/>
        <v>0.17</v>
      </c>
    </row>
    <row r="100" ht="22.5" customHeight="1">
      <c r="A100" s="228">
        <v>8.0</v>
      </c>
      <c r="B100" s="4"/>
      <c r="C100" s="100">
        <f t="shared" si="32"/>
        <v>6.599</v>
      </c>
      <c r="D100" s="229">
        <f t="shared" si="33"/>
        <v>0.358801</v>
      </c>
      <c r="E100" s="102">
        <f>(C100-Table_23_Analysis_of_estimated_volumes[[#TOTALS],[Calculated volume (L)]])^2</f>
        <v>0.0389075625</v>
      </c>
      <c r="F100" s="157">
        <f t="shared" si="34"/>
        <v>0.27</v>
      </c>
    </row>
    <row r="101" ht="22.5" customHeight="1">
      <c r="A101" s="228">
        <v>9.0</v>
      </c>
      <c r="B101" s="4"/>
      <c r="C101" s="100">
        <f t="shared" si="32"/>
        <v>6.628</v>
      </c>
      <c r="D101" s="229">
        <f t="shared" si="33"/>
        <v>0.394384</v>
      </c>
      <c r="E101" s="102">
        <f>(C101-Table_23_Analysis_of_estimated_volumes[[#TOTALS],[Calculated volume (L)]])^2</f>
        <v>0.0511890625</v>
      </c>
      <c r="F101" s="157">
        <f t="shared" si="34"/>
        <v>0.29</v>
      </c>
    </row>
    <row r="102" ht="22.5" customHeight="1">
      <c r="A102" s="228">
        <v>10.0</v>
      </c>
      <c r="B102" s="4"/>
      <c r="C102" s="100">
        <f t="shared" si="32"/>
        <v>6.409</v>
      </c>
      <c r="D102" s="229">
        <f t="shared" si="33"/>
        <v>0.167281</v>
      </c>
      <c r="E102" s="102">
        <f>(C102-Table_23_Analysis_of_estimated_volumes[[#TOTALS],[Calculated volume (L)]])^2</f>
        <v>0.0000525625</v>
      </c>
      <c r="F102" s="157">
        <f t="shared" si="34"/>
        <v>0.23</v>
      </c>
    </row>
    <row r="103" ht="22.5" customHeight="1">
      <c r="A103" s="228">
        <v>11.0</v>
      </c>
      <c r="B103" s="4"/>
      <c r="C103" s="100">
        <f t="shared" si="32"/>
        <v>6.244</v>
      </c>
      <c r="D103" s="229">
        <f t="shared" si="33"/>
        <v>0.059536</v>
      </c>
      <c r="E103" s="102">
        <f>(C103-Table_23_Analysis_of_estimated_volumes[[#TOTALS],[Calculated volume (L)]])^2</f>
        <v>0.0248850625</v>
      </c>
      <c r="F103" s="157">
        <f t="shared" si="34"/>
        <v>0.33</v>
      </c>
    </row>
    <row r="104" ht="22.5" customHeight="1">
      <c r="A104" s="228">
        <v>12.0</v>
      </c>
      <c r="B104" s="4"/>
      <c r="C104" s="100">
        <f t="shared" si="32"/>
        <v>6.151</v>
      </c>
      <c r="D104" s="229">
        <f t="shared" si="33"/>
        <v>0.022801</v>
      </c>
      <c r="E104" s="102">
        <f>(C104-Table_23_Analysis_of_estimated_volumes[[#TOTALS],[Calculated volume (L)]])^2</f>
        <v>0.0628755625</v>
      </c>
      <c r="F104" s="157">
        <f t="shared" si="34"/>
        <v>0.19</v>
      </c>
    </row>
    <row r="105" ht="22.5" customHeight="1">
      <c r="A105" s="230" t="s">
        <v>67</v>
      </c>
      <c r="B105" s="231"/>
      <c r="C105" s="232">
        <f>AVERAGE(Table_23_Analysis_of_estimated_volumes[Calculated volume (L)])</f>
        <v>6.40175</v>
      </c>
      <c r="D105" s="231">
        <f>SQRT(AVERAGE(Table_23_Analysis_of_estimated_volumes[Absolute error (L)]))</f>
        <v>0.5701026954</v>
      </c>
      <c r="E105" s="231">
        <f>SQRT(AVERAGE(Table_23_Analysis_of_estimated_volumes[Standard deviation (L)]))</f>
        <v>0.4044923001</v>
      </c>
      <c r="F105" s="233">
        <f>AVERAGE(F93:F96)</f>
        <v>0.27</v>
      </c>
    </row>
    <row r="107">
      <c r="C107" s="94"/>
      <c r="E107" s="94"/>
    </row>
    <row r="108">
      <c r="C108" s="94"/>
      <c r="E108" s="94"/>
    </row>
    <row r="109">
      <c r="A109" s="165"/>
      <c r="B109" s="165"/>
      <c r="C109" s="165"/>
      <c r="D109" s="165"/>
      <c r="E109" s="165"/>
      <c r="F109" s="165"/>
    </row>
    <row r="110">
      <c r="A110" s="165"/>
      <c r="B110" s="165"/>
      <c r="C110" s="165"/>
      <c r="D110" s="165"/>
      <c r="E110" s="165"/>
      <c r="F110" s="165"/>
    </row>
    <row r="111">
      <c r="A111" s="165"/>
      <c r="B111" s="165"/>
      <c r="C111" s="165"/>
      <c r="D111" s="165"/>
      <c r="E111" s="165"/>
      <c r="F111" s="165"/>
    </row>
    <row r="112">
      <c r="A112" s="165"/>
      <c r="B112" s="165"/>
      <c r="C112" s="165"/>
      <c r="D112" s="165"/>
      <c r="E112" s="165"/>
      <c r="F112" s="165"/>
    </row>
    <row r="113">
      <c r="A113" s="165"/>
      <c r="B113" s="165"/>
      <c r="C113" s="165"/>
      <c r="D113" s="165"/>
      <c r="E113" s="165"/>
      <c r="F113" s="165"/>
    </row>
    <row r="114">
      <c r="A114" s="165"/>
      <c r="B114" s="165"/>
      <c r="C114" s="165"/>
      <c r="D114" s="165"/>
      <c r="E114" s="165"/>
      <c r="F114" s="165"/>
    </row>
    <row r="115">
      <c r="A115" s="165"/>
      <c r="B115" s="165"/>
      <c r="C115" s="165"/>
      <c r="D115" s="165"/>
      <c r="E115" s="165"/>
      <c r="F115" s="165"/>
    </row>
    <row r="116">
      <c r="A116" s="165"/>
      <c r="B116" s="165"/>
      <c r="C116" s="165"/>
      <c r="D116" s="165"/>
      <c r="E116" s="165"/>
      <c r="F116" s="165"/>
    </row>
    <row r="117">
      <c r="A117" s="165"/>
      <c r="B117" s="165"/>
      <c r="C117" s="165"/>
      <c r="D117" s="165"/>
      <c r="E117" s="165"/>
      <c r="F117" s="165"/>
    </row>
    <row r="118">
      <c r="A118" s="165"/>
      <c r="B118" s="165"/>
      <c r="C118" s="165"/>
      <c r="D118" s="165"/>
      <c r="E118" s="165"/>
      <c r="F118" s="165"/>
    </row>
  </sheetData>
  <mergeCells count="8">
    <mergeCell ref="P21:W21"/>
    <mergeCell ref="P25:R25"/>
    <mergeCell ref="S25:U25"/>
    <mergeCell ref="V25:W25"/>
    <mergeCell ref="P24:W24"/>
    <mergeCell ref="P22:R22"/>
    <mergeCell ref="S22:U22"/>
    <mergeCell ref="V22:W22"/>
  </mergeCells>
  <dataValidations>
    <dataValidation type="custom" allowBlank="1" showDropDown="1" sqref="J46:J56 B5:B87 D5:F87 C93:D104">
      <formula1>AND(ISNUMBER(B5),(NOT(OR(NOT(ISERROR(DATEVALUE(B5))), AND(ISNUMBER(B5), LEFT(CELL("format", B5))="D")))))</formula1>
    </dataValidation>
    <dataValidation allowBlank="1" showDropDown="1" sqref="A5:A87"/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5.88"/>
    <col customWidth="1" min="3" max="3" width="24.25"/>
    <col customWidth="1" min="4" max="4" width="19.75"/>
    <col customWidth="1" min="5" max="5" width="22.38"/>
    <col customWidth="1" min="6" max="6" width="23.75"/>
    <col customWidth="1" min="8" max="8" width="19.38"/>
    <col customWidth="1" min="10" max="10" width="20.25"/>
    <col customWidth="1" min="11" max="11" width="15.13"/>
    <col customWidth="1" min="12" max="12" width="22.63"/>
    <col customWidth="1" min="13" max="13" width="19.38"/>
    <col customWidth="1" min="17" max="17" width="20.0"/>
    <col customWidth="1" min="20" max="20" width="23.38"/>
    <col customWidth="1" min="23" max="23" width="27.88"/>
  </cols>
  <sheetData>
    <row r="1">
      <c r="A1" s="36"/>
      <c r="B1" s="36"/>
      <c r="C1" s="36"/>
      <c r="D1" s="36"/>
      <c r="E1" s="36"/>
      <c r="F1" s="36"/>
    </row>
    <row r="2">
      <c r="A2" s="37" t="s">
        <v>30</v>
      </c>
      <c r="B2" s="39"/>
      <c r="C2" s="39"/>
      <c r="D2" s="39"/>
      <c r="E2" s="39"/>
      <c r="F2" s="40"/>
    </row>
    <row r="3">
      <c r="A3" s="41"/>
      <c r="B3" s="36"/>
      <c r="C3" s="36"/>
      <c r="D3" s="36"/>
      <c r="E3" s="36"/>
      <c r="F3" s="42"/>
    </row>
    <row r="4" ht="22.5" customHeight="1">
      <c r="A4" s="43" t="s">
        <v>31</v>
      </c>
      <c r="B4" s="44" t="s">
        <v>32</v>
      </c>
      <c r="C4" s="44" t="s">
        <v>2</v>
      </c>
      <c r="D4" s="44" t="s">
        <v>3</v>
      </c>
      <c r="E4" s="44" t="s">
        <v>4</v>
      </c>
      <c r="F4" s="45" t="s">
        <v>5</v>
      </c>
    </row>
    <row r="5" ht="22.5" customHeight="1">
      <c r="A5" s="51" t="s">
        <v>33</v>
      </c>
      <c r="B5" s="120">
        <v>0.09</v>
      </c>
      <c r="C5" s="154">
        <v>0.219</v>
      </c>
      <c r="D5" s="154">
        <v>0.23</v>
      </c>
      <c r="E5" s="154">
        <v>0.181</v>
      </c>
      <c r="F5" s="157">
        <v>9.17</v>
      </c>
    </row>
    <row r="6" ht="22.5" customHeight="1">
      <c r="A6" s="51" t="s">
        <v>33</v>
      </c>
      <c r="B6" s="120">
        <v>0.1</v>
      </c>
      <c r="C6" s="154">
        <v>0.194</v>
      </c>
      <c r="D6" s="154">
        <v>0.24</v>
      </c>
      <c r="E6" s="154">
        <v>0.177</v>
      </c>
      <c r="F6" s="157">
        <v>8.39</v>
      </c>
    </row>
    <row r="7" ht="22.5" customHeight="1">
      <c r="A7" s="51" t="s">
        <v>33</v>
      </c>
      <c r="B7" s="120">
        <v>0.21</v>
      </c>
      <c r="C7" s="154">
        <v>0.241</v>
      </c>
      <c r="D7" s="154">
        <v>0.229</v>
      </c>
      <c r="E7" s="154">
        <v>0.198</v>
      </c>
      <c r="F7" s="157">
        <v>10.896</v>
      </c>
    </row>
    <row r="8" ht="22.5" customHeight="1">
      <c r="A8" s="51" t="s">
        <v>33</v>
      </c>
      <c r="B8" s="120">
        <v>0.14</v>
      </c>
      <c r="C8" s="154">
        <v>0.216</v>
      </c>
      <c r="D8" s="154">
        <v>0.21</v>
      </c>
      <c r="E8" s="154">
        <v>0.18</v>
      </c>
      <c r="F8" s="157">
        <v>8.192</v>
      </c>
    </row>
    <row r="9" ht="22.5" customHeight="1">
      <c r="A9" s="51" t="s">
        <v>34</v>
      </c>
      <c r="B9" s="120">
        <v>0.22</v>
      </c>
      <c r="C9" s="154">
        <v>0.231</v>
      </c>
      <c r="D9" s="154">
        <v>0.229</v>
      </c>
      <c r="E9" s="154">
        <v>0.194</v>
      </c>
      <c r="F9" s="157">
        <v>10.266</v>
      </c>
    </row>
    <row r="10" ht="22.5" customHeight="1">
      <c r="A10" s="51" t="s">
        <v>34</v>
      </c>
      <c r="B10" s="120">
        <v>0.2</v>
      </c>
      <c r="C10" s="154">
        <v>0.229</v>
      </c>
      <c r="D10" s="154">
        <v>0.218</v>
      </c>
      <c r="E10" s="154">
        <v>0.19</v>
      </c>
      <c r="F10" s="157">
        <v>9.487</v>
      </c>
    </row>
    <row r="11" ht="22.5" customHeight="1">
      <c r="A11" s="51" t="s">
        <v>34</v>
      </c>
      <c r="B11" s="120">
        <v>0.18</v>
      </c>
      <c r="C11" s="154">
        <v>0.231</v>
      </c>
      <c r="D11" s="154">
        <v>0.223</v>
      </c>
      <c r="E11" s="154">
        <v>0.191</v>
      </c>
      <c r="F11" s="157">
        <v>9.82</v>
      </c>
    </row>
    <row r="12" ht="22.5" customHeight="1">
      <c r="A12" s="51" t="s">
        <v>34</v>
      </c>
      <c r="B12" s="120">
        <v>0.42</v>
      </c>
      <c r="C12" s="154">
        <v>0.215</v>
      </c>
      <c r="D12" s="154">
        <v>0.2</v>
      </c>
      <c r="E12" s="154">
        <v>0.191</v>
      </c>
      <c r="F12" s="157">
        <v>8.233</v>
      </c>
    </row>
    <row r="13" ht="22.5" customHeight="1">
      <c r="A13" s="51" t="s">
        <v>34</v>
      </c>
      <c r="B13" s="120">
        <v>0.18</v>
      </c>
      <c r="C13" s="154">
        <v>0.22</v>
      </c>
      <c r="D13" s="154">
        <v>0.213</v>
      </c>
      <c r="E13" s="154">
        <v>0.189</v>
      </c>
      <c r="F13" s="157">
        <v>8.827</v>
      </c>
    </row>
    <row r="14" ht="22.5" customHeight="1">
      <c r="A14" s="51" t="s">
        <v>34</v>
      </c>
      <c r="B14" s="120">
        <v>0.16</v>
      </c>
      <c r="C14" s="154">
        <v>0.212</v>
      </c>
      <c r="D14" s="154">
        <v>0.2</v>
      </c>
      <c r="E14" s="154">
        <v>0.191</v>
      </c>
      <c r="F14" s="157">
        <v>8.106</v>
      </c>
    </row>
    <row r="15" ht="22.5" customHeight="1">
      <c r="A15" s="176"/>
      <c r="B15" s="124"/>
      <c r="C15" s="124"/>
      <c r="D15" s="124"/>
      <c r="E15" s="124"/>
      <c r="F15" s="177"/>
    </row>
    <row r="16" ht="22.5" customHeight="1">
      <c r="A16" s="176"/>
      <c r="B16" s="124"/>
      <c r="C16" s="124"/>
      <c r="D16" s="124"/>
      <c r="E16" s="124"/>
      <c r="F16" s="177"/>
    </row>
    <row r="17" ht="22.5" customHeight="1">
      <c r="A17" s="176"/>
      <c r="B17" s="124"/>
      <c r="C17" s="124"/>
      <c r="D17" s="124"/>
      <c r="E17" s="124"/>
      <c r="F17" s="177"/>
      <c r="H17" s="122"/>
      <c r="I17" s="38"/>
      <c r="J17" s="62" t="s">
        <v>35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63"/>
    </row>
    <row r="18" ht="22.5" customHeight="1">
      <c r="A18" s="176"/>
      <c r="B18" s="124"/>
      <c r="C18" s="124"/>
      <c r="D18" s="124"/>
      <c r="E18" s="124"/>
      <c r="F18" s="177"/>
      <c r="H18" s="126" t="s">
        <v>36</v>
      </c>
      <c r="I18" s="65">
        <v>0.005</v>
      </c>
      <c r="J18" s="168"/>
      <c r="K18" s="168"/>
      <c r="L18" s="168"/>
      <c r="M18" s="66" t="s">
        <v>37</v>
      </c>
      <c r="N18" s="67">
        <v>1000.0</v>
      </c>
      <c r="W18" s="68"/>
    </row>
    <row r="19" ht="22.5" customHeight="1">
      <c r="A19" s="176"/>
      <c r="B19" s="124"/>
      <c r="C19" s="124"/>
      <c r="D19" s="124"/>
      <c r="E19" s="124"/>
      <c r="F19" s="177"/>
      <c r="H19" s="180"/>
      <c r="I19" s="127" t="s">
        <v>38</v>
      </c>
      <c r="J19" s="181" t="s">
        <v>2</v>
      </c>
      <c r="K19" s="182" t="s">
        <v>3</v>
      </c>
      <c r="L19" s="182" t="s">
        <v>4</v>
      </c>
      <c r="M19" s="183" t="s">
        <v>5</v>
      </c>
      <c r="N19" s="168"/>
      <c r="P19" s="70" t="s">
        <v>39</v>
      </c>
      <c r="W19" s="128"/>
    </row>
    <row r="20" ht="22.5" customHeight="1">
      <c r="A20" s="176"/>
      <c r="B20" s="124"/>
      <c r="C20" s="124"/>
      <c r="D20" s="124"/>
      <c r="E20" s="124"/>
      <c r="F20" s="177"/>
      <c r="H20" s="184"/>
      <c r="I20" s="185">
        <v>1.0</v>
      </c>
      <c r="J20" s="186">
        <f t="shared" ref="J20:L20" si="1">C5-$I$18</f>
        <v>0.214</v>
      </c>
      <c r="K20" s="186">
        <f t="shared" si="1"/>
        <v>0.225</v>
      </c>
      <c r="L20" s="186">
        <f t="shared" si="1"/>
        <v>0.176</v>
      </c>
      <c r="M20" s="186">
        <f t="shared" ref="M20:M29" si="3">(J20*K20*L20)*N$18</f>
        <v>8.4744</v>
      </c>
      <c r="N20" s="168"/>
      <c r="P20" s="70" t="s">
        <v>2</v>
      </c>
      <c r="S20" s="70" t="s">
        <v>3</v>
      </c>
      <c r="V20" s="70" t="s">
        <v>4</v>
      </c>
      <c r="W20" s="128"/>
    </row>
    <row r="21" ht="22.5" customHeight="1">
      <c r="A21" s="176"/>
      <c r="B21" s="124"/>
      <c r="C21" s="124"/>
      <c r="D21" s="124"/>
      <c r="E21" s="124"/>
      <c r="F21" s="177"/>
      <c r="H21" s="184"/>
      <c r="I21" s="185">
        <v>2.0</v>
      </c>
      <c r="J21" s="186">
        <f t="shared" ref="J21:L21" si="2">C6-$I$18</f>
        <v>0.189</v>
      </c>
      <c r="K21" s="186">
        <f t="shared" si="2"/>
        <v>0.235</v>
      </c>
      <c r="L21" s="186">
        <f t="shared" si="2"/>
        <v>0.172</v>
      </c>
      <c r="M21" s="186">
        <f t="shared" si="3"/>
        <v>7.63938</v>
      </c>
      <c r="N21" s="168"/>
      <c r="P21" s="73"/>
      <c r="Q21" s="74">
        <v>0.2</v>
      </c>
      <c r="R21" s="75"/>
      <c r="S21" s="76">
        <v>0.2</v>
      </c>
      <c r="T21" s="75"/>
      <c r="U21" s="75"/>
      <c r="V21" s="76">
        <v>0.2</v>
      </c>
      <c r="W21" s="130"/>
    </row>
    <row r="22" ht="22.5" customHeight="1">
      <c r="A22" s="176"/>
      <c r="B22" s="124"/>
      <c r="C22" s="124"/>
      <c r="D22" s="124"/>
      <c r="E22" s="124"/>
      <c r="F22" s="177"/>
      <c r="H22" s="184"/>
      <c r="I22" s="185">
        <v>3.0</v>
      </c>
      <c r="J22" s="186">
        <f t="shared" ref="J22:L22" si="4">C7-$I$18</f>
        <v>0.236</v>
      </c>
      <c r="K22" s="186">
        <f t="shared" si="4"/>
        <v>0.224</v>
      </c>
      <c r="L22" s="186">
        <f t="shared" si="4"/>
        <v>0.193</v>
      </c>
      <c r="M22" s="186">
        <f t="shared" si="3"/>
        <v>10.202752</v>
      </c>
      <c r="N22" s="168"/>
      <c r="O22" s="77"/>
      <c r="P22" s="78" t="s">
        <v>40</v>
      </c>
      <c r="W22" s="128"/>
    </row>
    <row r="23" ht="22.5" customHeight="1">
      <c r="A23" s="176"/>
      <c r="B23" s="124"/>
      <c r="C23" s="124"/>
      <c r="D23" s="124"/>
      <c r="E23" s="124"/>
      <c r="F23" s="177"/>
      <c r="H23" s="184"/>
      <c r="I23" s="185">
        <v>4.0</v>
      </c>
      <c r="J23" s="186">
        <f t="shared" ref="J23:L23" si="5">C8-$I$18</f>
        <v>0.211</v>
      </c>
      <c r="K23" s="186">
        <f t="shared" si="5"/>
        <v>0.205</v>
      </c>
      <c r="L23" s="186">
        <f t="shared" si="5"/>
        <v>0.175</v>
      </c>
      <c r="M23" s="186">
        <f t="shared" si="3"/>
        <v>7.569625</v>
      </c>
      <c r="N23" s="168"/>
      <c r="O23" s="234"/>
      <c r="P23" s="79" t="s">
        <v>41</v>
      </c>
      <c r="S23" s="79" t="s">
        <v>42</v>
      </c>
      <c r="V23" s="79" t="s">
        <v>43</v>
      </c>
      <c r="W23" s="128"/>
    </row>
    <row r="24" ht="22.5" customHeight="1">
      <c r="A24" s="176"/>
      <c r="B24" s="124"/>
      <c r="C24" s="124"/>
      <c r="D24" s="124"/>
      <c r="E24" s="124"/>
      <c r="F24" s="177"/>
      <c r="H24" s="184"/>
      <c r="I24" s="185">
        <v>5.0</v>
      </c>
      <c r="J24" s="186">
        <f t="shared" ref="J24:L24" si="6">C9-$I$18</f>
        <v>0.226</v>
      </c>
      <c r="K24" s="186">
        <f t="shared" si="6"/>
        <v>0.224</v>
      </c>
      <c r="L24" s="186">
        <f t="shared" si="6"/>
        <v>0.189</v>
      </c>
      <c r="M24" s="186">
        <f t="shared" si="3"/>
        <v>9.567936</v>
      </c>
      <c r="N24" s="168"/>
      <c r="O24" s="80" t="s">
        <v>38</v>
      </c>
      <c r="P24" s="80" t="s">
        <v>44</v>
      </c>
      <c r="Q24" s="80" t="s">
        <v>45</v>
      </c>
      <c r="R24" s="81"/>
      <c r="S24" s="80" t="s">
        <v>44</v>
      </c>
      <c r="T24" s="80" t="s">
        <v>45</v>
      </c>
      <c r="U24" s="82"/>
      <c r="V24" s="80" t="s">
        <v>44</v>
      </c>
      <c r="W24" s="131" t="s">
        <v>45</v>
      </c>
    </row>
    <row r="25" ht="22.5" customHeight="1">
      <c r="A25" s="176"/>
      <c r="B25" s="124"/>
      <c r="C25" s="124"/>
      <c r="D25" s="124"/>
      <c r="E25" s="124"/>
      <c r="F25" s="177"/>
      <c r="H25" s="184"/>
      <c r="I25" s="185">
        <v>6.0</v>
      </c>
      <c r="J25" s="186">
        <f t="shared" ref="J25:L25" si="7">C10-$I$18</f>
        <v>0.224</v>
      </c>
      <c r="K25" s="186">
        <f t="shared" si="7"/>
        <v>0.213</v>
      </c>
      <c r="L25" s="186">
        <f t="shared" si="7"/>
        <v>0.185</v>
      </c>
      <c r="M25" s="186">
        <f t="shared" si="3"/>
        <v>8.82672</v>
      </c>
      <c r="N25" s="168"/>
      <c r="O25" s="1">
        <v>1.0</v>
      </c>
      <c r="P25" s="141">
        <f t="shared" ref="P25:P34" si="9">abs(J20-Q$21)^2</f>
        <v>0.000196</v>
      </c>
      <c r="Q25" s="141">
        <f t="shared" ref="Q25:Q34" si="10">ABS(J20-AVERAGE(J20:J29))^2</f>
        <v>0.00000324</v>
      </c>
      <c r="R25" s="142"/>
      <c r="S25" s="141">
        <f t="shared" ref="S25:S34" si="11">abs(K20-S$21)^2</f>
        <v>0.000625</v>
      </c>
      <c r="T25" s="141">
        <f t="shared" ref="T25:T34" si="12">ABS(K20-AVERAGE(K$20:K$29))^2</f>
        <v>0.00011664</v>
      </c>
      <c r="U25" s="139"/>
      <c r="V25" s="139">
        <f t="shared" ref="V25:V34" si="13">abs(L20-V$21)^2</f>
        <v>0.000576</v>
      </c>
      <c r="W25" s="140">
        <f t="shared" ref="W25:W34" si="14">ABS(L20-AVERAGE(L$20:L$29))^2</f>
        <v>0.00005184</v>
      </c>
    </row>
    <row r="26" ht="22.5" customHeight="1">
      <c r="A26" s="176"/>
      <c r="B26" s="124"/>
      <c r="C26" s="124"/>
      <c r="D26" s="124"/>
      <c r="E26" s="124"/>
      <c r="F26" s="177"/>
      <c r="H26" s="184"/>
      <c r="I26" s="185">
        <v>7.0</v>
      </c>
      <c r="J26" s="186">
        <f t="shared" ref="J26:L26" si="8">C11-$I$18</f>
        <v>0.226</v>
      </c>
      <c r="K26" s="186">
        <f t="shared" si="8"/>
        <v>0.218</v>
      </c>
      <c r="L26" s="186">
        <f t="shared" si="8"/>
        <v>0.186</v>
      </c>
      <c r="M26" s="186">
        <f t="shared" si="3"/>
        <v>9.163848</v>
      </c>
      <c r="N26" s="168"/>
      <c r="O26" s="1">
        <v>2.0</v>
      </c>
      <c r="P26" s="137">
        <f t="shared" si="9"/>
        <v>0.000121</v>
      </c>
      <c r="Q26" s="137">
        <f t="shared" si="10"/>
        <v>0.000729</v>
      </c>
      <c r="R26" s="138"/>
      <c r="S26" s="137">
        <f t="shared" si="11"/>
        <v>0.001225</v>
      </c>
      <c r="T26" s="137">
        <f t="shared" si="12"/>
        <v>0.00043264</v>
      </c>
      <c r="U26" s="139"/>
      <c r="V26" s="139">
        <f t="shared" si="13"/>
        <v>0.000784</v>
      </c>
      <c r="W26" s="140">
        <f t="shared" si="14"/>
        <v>0.00012544</v>
      </c>
    </row>
    <row r="27" ht="22.5" customHeight="1">
      <c r="A27" s="176"/>
      <c r="B27" s="235"/>
      <c r="C27" s="236"/>
      <c r="D27" s="235"/>
      <c r="E27" s="235"/>
      <c r="F27" s="237"/>
      <c r="H27" s="184"/>
      <c r="I27" s="185">
        <v>8.0</v>
      </c>
      <c r="J27" s="186">
        <f t="shared" ref="J27:L27" si="15">C12-$I$18</f>
        <v>0.21</v>
      </c>
      <c r="K27" s="186">
        <f t="shared" si="15"/>
        <v>0.195</v>
      </c>
      <c r="L27" s="186">
        <f t="shared" si="15"/>
        <v>0.186</v>
      </c>
      <c r="M27" s="186">
        <f t="shared" si="3"/>
        <v>7.6167</v>
      </c>
      <c r="N27" s="168"/>
      <c r="O27" s="1">
        <v>3.0</v>
      </c>
      <c r="P27" s="141">
        <f t="shared" si="9"/>
        <v>0.001296</v>
      </c>
      <c r="Q27" s="141">
        <f t="shared" si="10"/>
        <v>0.000276390625</v>
      </c>
      <c r="R27" s="142"/>
      <c r="S27" s="141">
        <f t="shared" si="11"/>
        <v>0.000576</v>
      </c>
      <c r="T27" s="141">
        <f t="shared" si="12"/>
        <v>0.00009604</v>
      </c>
      <c r="U27" s="139"/>
      <c r="V27" s="139">
        <f t="shared" si="13"/>
        <v>0.000049</v>
      </c>
      <c r="W27" s="140">
        <f t="shared" si="14"/>
        <v>0.00009604</v>
      </c>
    </row>
    <row r="28" ht="22.5" customHeight="1">
      <c r="A28" s="176"/>
      <c r="B28" s="235"/>
      <c r="C28" s="236"/>
      <c r="D28" s="235"/>
      <c r="E28" s="235"/>
      <c r="F28" s="237"/>
      <c r="H28" s="184"/>
      <c r="I28" s="185">
        <v>9.0</v>
      </c>
      <c r="J28" s="186">
        <f t="shared" ref="J28:L28" si="16">C13-$I$18</f>
        <v>0.215</v>
      </c>
      <c r="K28" s="186">
        <f t="shared" si="16"/>
        <v>0.208</v>
      </c>
      <c r="L28" s="186">
        <f t="shared" si="16"/>
        <v>0.184</v>
      </c>
      <c r="M28" s="186">
        <f t="shared" si="3"/>
        <v>8.22848</v>
      </c>
      <c r="N28" s="168"/>
      <c r="O28" s="1">
        <v>4.0</v>
      </c>
      <c r="P28" s="137">
        <f t="shared" si="9"/>
        <v>0.000121</v>
      </c>
      <c r="Q28" s="137">
        <f t="shared" si="10"/>
        <v>0.000036</v>
      </c>
      <c r="R28" s="138"/>
      <c r="S28" s="137">
        <f t="shared" si="11"/>
        <v>0.000025</v>
      </c>
      <c r="T28" s="137">
        <f t="shared" si="12"/>
        <v>0.00008464</v>
      </c>
      <c r="U28" s="139"/>
      <c r="V28" s="139">
        <f t="shared" si="13"/>
        <v>0.000625</v>
      </c>
      <c r="W28" s="140">
        <f t="shared" si="14"/>
        <v>0.00006724</v>
      </c>
    </row>
    <row r="29" ht="22.5" customHeight="1">
      <c r="A29" s="176"/>
      <c r="B29" s="235"/>
      <c r="C29" s="236"/>
      <c r="D29" s="235"/>
      <c r="E29" s="235"/>
      <c r="F29" s="237"/>
      <c r="H29" s="184"/>
      <c r="I29" s="185">
        <v>10.0</v>
      </c>
      <c r="J29" s="186">
        <f t="shared" ref="J29:L29" si="17">C14-$I$18</f>
        <v>0.207</v>
      </c>
      <c r="K29" s="186">
        <f t="shared" si="17"/>
        <v>0.195</v>
      </c>
      <c r="L29" s="186">
        <f t="shared" si="17"/>
        <v>0.186</v>
      </c>
      <c r="M29" s="186">
        <f t="shared" si="3"/>
        <v>7.50789</v>
      </c>
      <c r="N29" s="168"/>
      <c r="O29" s="1">
        <v>5.0</v>
      </c>
      <c r="P29" s="141">
        <f t="shared" si="9"/>
        <v>0.000676</v>
      </c>
      <c r="Q29" s="141">
        <f t="shared" si="10"/>
        <v>0.000064</v>
      </c>
      <c r="R29" s="142"/>
      <c r="S29" s="141">
        <f t="shared" si="11"/>
        <v>0.000576</v>
      </c>
      <c r="T29" s="141">
        <f t="shared" si="12"/>
        <v>0.00009604</v>
      </c>
      <c r="U29" s="139"/>
      <c r="V29" s="139">
        <f t="shared" si="13"/>
        <v>0.000121</v>
      </c>
      <c r="W29" s="140">
        <f t="shared" si="14"/>
        <v>0.00003364</v>
      </c>
    </row>
    <row r="30" ht="22.5" customHeight="1">
      <c r="A30" s="176"/>
      <c r="B30" s="235"/>
      <c r="C30" s="236"/>
      <c r="D30" s="235"/>
      <c r="E30" s="235"/>
      <c r="F30" s="237"/>
      <c r="H30" s="184"/>
      <c r="I30" s="194"/>
      <c r="J30" s="238"/>
      <c r="K30" s="238"/>
      <c r="L30" s="238"/>
      <c r="M30" s="238"/>
      <c r="N30" s="168"/>
      <c r="O30" s="1">
        <v>6.0</v>
      </c>
      <c r="P30" s="137">
        <f t="shared" si="9"/>
        <v>0.000576</v>
      </c>
      <c r="Q30" s="137">
        <f t="shared" si="10"/>
        <v>0.00005776</v>
      </c>
      <c r="R30" s="138"/>
      <c r="S30" s="137">
        <f t="shared" si="11"/>
        <v>0.000169</v>
      </c>
      <c r="T30" s="137">
        <f t="shared" si="12"/>
        <v>0.00000144</v>
      </c>
      <c r="U30" s="139"/>
      <c r="V30" s="139">
        <f t="shared" si="13"/>
        <v>0.000225</v>
      </c>
      <c r="W30" s="140">
        <f t="shared" si="14"/>
        <v>0.00000324</v>
      </c>
    </row>
    <row r="31" ht="22.5" customHeight="1">
      <c r="A31" s="176"/>
      <c r="B31" s="235"/>
      <c r="C31" s="236"/>
      <c r="D31" s="235"/>
      <c r="E31" s="235"/>
      <c r="F31" s="237"/>
      <c r="H31" s="184"/>
      <c r="I31" s="194"/>
      <c r="J31" s="195"/>
      <c r="K31" s="195"/>
      <c r="L31" s="195"/>
      <c r="M31" s="195"/>
      <c r="N31" s="168"/>
      <c r="O31" s="1">
        <v>7.0</v>
      </c>
      <c r="P31" s="141">
        <f t="shared" si="9"/>
        <v>0.000676</v>
      </c>
      <c r="Q31" s="141">
        <f t="shared" si="10"/>
        <v>0.00013225</v>
      </c>
      <c r="R31" s="142"/>
      <c r="S31" s="141">
        <f t="shared" si="11"/>
        <v>0.000324</v>
      </c>
      <c r="T31" s="141">
        <f t="shared" si="12"/>
        <v>0.00001444</v>
      </c>
      <c r="U31" s="139"/>
      <c r="V31" s="139">
        <f t="shared" si="13"/>
        <v>0.000196</v>
      </c>
      <c r="W31" s="140">
        <f t="shared" si="14"/>
        <v>0.00000784</v>
      </c>
    </row>
    <row r="32" ht="22.5" customHeight="1">
      <c r="A32" s="176"/>
      <c r="B32" s="235"/>
      <c r="C32" s="236"/>
      <c r="D32" s="235"/>
      <c r="E32" s="235"/>
      <c r="F32" s="237"/>
      <c r="H32" s="184"/>
      <c r="I32" s="194"/>
      <c r="J32" s="195"/>
      <c r="K32" s="195"/>
      <c r="L32" s="195"/>
      <c r="M32" s="195"/>
      <c r="N32" s="168"/>
      <c r="O32" s="1">
        <v>8.0</v>
      </c>
      <c r="P32" s="137">
        <f t="shared" si="9"/>
        <v>0.0001</v>
      </c>
      <c r="Q32" s="137">
        <f t="shared" si="10"/>
        <v>0.0000004444444444</v>
      </c>
      <c r="R32" s="138"/>
      <c r="S32" s="137">
        <f t="shared" si="11"/>
        <v>0.000025</v>
      </c>
      <c r="T32" s="137">
        <f t="shared" si="12"/>
        <v>0.00036864</v>
      </c>
      <c r="U32" s="139"/>
      <c r="V32" s="139">
        <f t="shared" si="13"/>
        <v>0.000196</v>
      </c>
      <c r="W32" s="140">
        <f t="shared" si="14"/>
        <v>0.00000784</v>
      </c>
    </row>
    <row r="33" ht="22.5" customHeight="1">
      <c r="A33" s="176"/>
      <c r="B33" s="235"/>
      <c r="C33" s="236"/>
      <c r="D33" s="235"/>
      <c r="E33" s="235"/>
      <c r="F33" s="237"/>
      <c r="H33" s="180"/>
      <c r="I33" s="168"/>
      <c r="J33" s="196"/>
      <c r="K33" s="196"/>
      <c r="L33" s="196"/>
      <c r="M33" s="168"/>
      <c r="N33" s="168"/>
      <c r="O33" s="1">
        <v>9.0</v>
      </c>
      <c r="P33" s="141">
        <f t="shared" si="9"/>
        <v>0.000225</v>
      </c>
      <c r="Q33" s="141">
        <f t="shared" si="10"/>
        <v>0.000016</v>
      </c>
      <c r="R33" s="142"/>
      <c r="S33" s="141">
        <f t="shared" si="11"/>
        <v>0.000064</v>
      </c>
      <c r="T33" s="141">
        <f t="shared" si="12"/>
        <v>0.00003844</v>
      </c>
      <c r="U33" s="139"/>
      <c r="V33" s="139">
        <f t="shared" si="13"/>
        <v>0.000256</v>
      </c>
      <c r="W33" s="140">
        <f t="shared" si="14"/>
        <v>0.00000064</v>
      </c>
    </row>
    <row r="34" ht="22.5" customHeight="1">
      <c r="A34" s="176"/>
      <c r="B34" s="235"/>
      <c r="C34" s="236"/>
      <c r="D34" s="235"/>
      <c r="E34" s="235"/>
      <c r="F34" s="237"/>
      <c r="H34" s="180"/>
      <c r="I34" s="168"/>
      <c r="J34" s="168"/>
      <c r="K34" s="168"/>
      <c r="L34" s="168"/>
      <c r="M34" s="168"/>
      <c r="N34" s="168"/>
      <c r="O34" s="1">
        <v>10.0</v>
      </c>
      <c r="P34" s="137">
        <f t="shared" si="9"/>
        <v>0.000049</v>
      </c>
      <c r="Q34" s="137">
        <f t="shared" si="10"/>
        <v>0</v>
      </c>
      <c r="R34" s="138"/>
      <c r="S34" s="137">
        <f t="shared" si="11"/>
        <v>0.000025</v>
      </c>
      <c r="T34" s="137">
        <f t="shared" si="12"/>
        <v>0.00036864</v>
      </c>
      <c r="U34" s="139"/>
      <c r="V34" s="139">
        <f t="shared" si="13"/>
        <v>0.000196</v>
      </c>
      <c r="W34" s="140">
        <f t="shared" si="14"/>
        <v>0.00000784</v>
      </c>
    </row>
    <row r="35" ht="22.5" customHeight="1">
      <c r="A35" s="176"/>
      <c r="B35" s="235"/>
      <c r="C35" s="236"/>
      <c r="D35" s="235"/>
      <c r="E35" s="235"/>
      <c r="F35" s="237"/>
      <c r="H35" s="180"/>
      <c r="I35" s="168"/>
      <c r="J35" s="168"/>
      <c r="K35" s="168"/>
      <c r="L35" s="168"/>
      <c r="M35" s="168"/>
      <c r="N35" s="168"/>
      <c r="O35" s="85" t="s">
        <v>46</v>
      </c>
      <c r="P35" s="150">
        <f t="shared" ref="P35:Q35" si="18">SUM(P25:P34)</f>
        <v>0.004036</v>
      </c>
      <c r="Q35" s="150">
        <f t="shared" si="18"/>
        <v>0.001315085069</v>
      </c>
      <c r="R35" s="151"/>
      <c r="S35" s="150">
        <f t="shared" ref="S35:T35" si="19">SUM(S25:S34)</f>
        <v>0.003634</v>
      </c>
      <c r="T35" s="150">
        <f t="shared" si="19"/>
        <v>0.0016176</v>
      </c>
      <c r="U35" s="150"/>
      <c r="V35" s="150">
        <f t="shared" ref="V35:W35" si="20">SUM(V25:V34)</f>
        <v>0.003224</v>
      </c>
      <c r="W35" s="152">
        <f t="shared" si="20"/>
        <v>0.0004016</v>
      </c>
    </row>
    <row r="36" ht="22.5" customHeight="1">
      <c r="A36" s="176"/>
      <c r="B36" s="235"/>
      <c r="C36" s="236"/>
      <c r="D36" s="235"/>
      <c r="E36" s="235"/>
      <c r="F36" s="237"/>
      <c r="H36" s="180"/>
      <c r="I36" s="168"/>
      <c r="J36" s="168"/>
      <c r="K36" s="168"/>
      <c r="L36" s="168"/>
      <c r="M36" s="168"/>
      <c r="N36" s="168"/>
      <c r="O36" s="85" t="s">
        <v>47</v>
      </c>
      <c r="P36" s="150">
        <f t="shared" ref="P36:Q36" si="21">P35/10</f>
        <v>0.0004036</v>
      </c>
      <c r="Q36" s="150">
        <f t="shared" si="21"/>
        <v>0.0001315085069</v>
      </c>
      <c r="R36" s="151"/>
      <c r="S36" s="150">
        <f t="shared" ref="S36:T36" si="22">S35/10</f>
        <v>0.0003634</v>
      </c>
      <c r="T36" s="150">
        <f t="shared" si="22"/>
        <v>0.00016176</v>
      </c>
      <c r="U36" s="150"/>
      <c r="V36" s="150">
        <f t="shared" ref="V36:W36" si="23">V35/10</f>
        <v>0.0003224</v>
      </c>
      <c r="W36" s="152">
        <f t="shared" si="23"/>
        <v>0.00004016</v>
      </c>
    </row>
    <row r="37" ht="22.5" customHeight="1">
      <c r="A37" s="176"/>
      <c r="B37" s="235"/>
      <c r="C37" s="236"/>
      <c r="D37" s="235"/>
      <c r="E37" s="235"/>
      <c r="F37" s="237"/>
      <c r="H37" s="180"/>
      <c r="I37" s="168"/>
      <c r="J37" s="168"/>
      <c r="K37" s="168"/>
      <c r="L37" s="168"/>
      <c r="M37" s="168"/>
      <c r="N37" s="168"/>
      <c r="W37" s="68"/>
    </row>
    <row r="38" ht="22.5" customHeight="1">
      <c r="A38" s="176"/>
      <c r="B38" s="235"/>
      <c r="C38" s="236"/>
      <c r="D38" s="235"/>
      <c r="E38" s="235"/>
      <c r="F38" s="237"/>
      <c r="H38" s="180"/>
      <c r="I38" s="168"/>
      <c r="J38" s="168"/>
      <c r="K38" s="168"/>
      <c r="L38" s="168"/>
      <c r="M38" s="168"/>
      <c r="N38" s="168"/>
      <c r="W38" s="68"/>
    </row>
    <row r="39" ht="22.5" customHeight="1">
      <c r="A39" s="176"/>
      <c r="B39" s="235"/>
      <c r="C39" s="236"/>
      <c r="D39" s="235"/>
      <c r="E39" s="235"/>
      <c r="F39" s="237"/>
      <c r="H39" s="180"/>
      <c r="I39" s="168"/>
      <c r="J39" s="204" t="s">
        <v>48</v>
      </c>
      <c r="K39" s="205">
        <v>8.0</v>
      </c>
      <c r="L39" s="168"/>
      <c r="M39" s="168"/>
      <c r="N39" s="168"/>
      <c r="W39" s="68"/>
    </row>
    <row r="40" ht="22.5" customHeight="1">
      <c r="A40" s="176"/>
      <c r="B40" s="235"/>
      <c r="C40" s="236"/>
      <c r="D40" s="235"/>
      <c r="E40" s="235"/>
      <c r="F40" s="237"/>
      <c r="H40" s="180"/>
      <c r="I40" s="168"/>
      <c r="J40" s="168"/>
      <c r="K40" s="168"/>
      <c r="L40" s="168"/>
      <c r="M40" s="168"/>
      <c r="N40" s="168"/>
      <c r="W40" s="68"/>
    </row>
    <row r="41" ht="22.5" customHeight="1">
      <c r="A41" s="176"/>
      <c r="B41" s="235"/>
      <c r="C41" s="236"/>
      <c r="D41" s="235"/>
      <c r="E41" s="235"/>
      <c r="F41" s="237"/>
      <c r="H41" s="180"/>
      <c r="I41" s="127" t="s">
        <v>38</v>
      </c>
      <c r="J41" s="206" t="s">
        <v>51</v>
      </c>
      <c r="K41" s="207" t="s">
        <v>13</v>
      </c>
      <c r="L41" s="207" t="s">
        <v>53</v>
      </c>
      <c r="M41" s="208" t="s">
        <v>16</v>
      </c>
      <c r="N41" s="6" t="s">
        <v>56</v>
      </c>
      <c r="W41" s="68"/>
    </row>
    <row r="42" ht="22.5" customHeight="1">
      <c r="A42" s="176"/>
      <c r="B42" s="235"/>
      <c r="C42" s="236"/>
      <c r="D42" s="235"/>
      <c r="E42" s="235"/>
      <c r="F42" s="237"/>
      <c r="H42" s="180"/>
      <c r="I42" s="127">
        <v>1.0</v>
      </c>
      <c r="J42" s="239">
        <f t="shared" ref="J42:J51" si="24">M20</f>
        <v>8.4744</v>
      </c>
      <c r="K42" s="210">
        <f t="shared" ref="K42:K51" si="25">abs(J42-K$39)^2</f>
        <v>0.22505536</v>
      </c>
      <c r="L42" s="210">
        <f t="shared" ref="L42:L51" si="26">ABS(J42-J$52/10)^2</f>
        <v>0.00002887020361</v>
      </c>
      <c r="M42" s="211">
        <f t="shared" ref="M42:M51" si="27">B5</f>
        <v>0.09</v>
      </c>
      <c r="N42" s="106">
        <f t="shared" ref="N42:N51" si="28">ABS(K$39-J42)/K$39</f>
        <v>0.0593</v>
      </c>
      <c r="W42" s="68"/>
    </row>
    <row r="43" ht="22.5" customHeight="1">
      <c r="A43" s="176"/>
      <c r="B43" s="235"/>
      <c r="C43" s="236"/>
      <c r="D43" s="235"/>
      <c r="E43" s="235"/>
      <c r="F43" s="237"/>
      <c r="H43" s="180"/>
      <c r="I43" s="127">
        <v>2.0</v>
      </c>
      <c r="J43" s="240">
        <f t="shared" si="24"/>
        <v>7.63938</v>
      </c>
      <c r="K43" s="210">
        <f t="shared" si="25"/>
        <v>0.1300467844</v>
      </c>
      <c r="L43" s="210">
        <f t="shared" si="26"/>
        <v>0.7062605625</v>
      </c>
      <c r="M43" s="213">
        <f t="shared" si="27"/>
        <v>0.1</v>
      </c>
      <c r="N43" s="106">
        <f t="shared" si="28"/>
        <v>0.0450775</v>
      </c>
      <c r="W43" s="68"/>
    </row>
    <row r="44" ht="22.5" customHeight="1">
      <c r="A44" s="176"/>
      <c r="B44" s="235"/>
      <c r="C44" s="236"/>
      <c r="D44" s="235"/>
      <c r="E44" s="235"/>
      <c r="F44" s="237"/>
      <c r="H44" s="180"/>
      <c r="I44" s="127">
        <v>3.0</v>
      </c>
      <c r="J44" s="239">
        <f t="shared" si="24"/>
        <v>10.202752</v>
      </c>
      <c r="K44" s="210">
        <f t="shared" si="25"/>
        <v>4.852116374</v>
      </c>
      <c r="L44" s="210">
        <f t="shared" si="26"/>
        <v>2.96865629</v>
      </c>
      <c r="M44" s="211">
        <f t="shared" si="27"/>
        <v>0.21</v>
      </c>
      <c r="N44" s="106">
        <f t="shared" si="28"/>
        <v>0.275344</v>
      </c>
      <c r="W44" s="68"/>
    </row>
    <row r="45" ht="22.5" customHeight="1">
      <c r="A45" s="176"/>
      <c r="B45" s="235"/>
      <c r="C45" s="236"/>
      <c r="D45" s="235"/>
      <c r="E45" s="235"/>
      <c r="F45" s="237"/>
      <c r="H45" s="180"/>
      <c r="I45" s="127">
        <v>4.0</v>
      </c>
      <c r="J45" s="239">
        <f t="shared" si="24"/>
        <v>7.569625</v>
      </c>
      <c r="K45" s="210">
        <f t="shared" si="25"/>
        <v>0.1852226406</v>
      </c>
      <c r="L45" s="210">
        <f t="shared" si="26"/>
        <v>0.8283695639</v>
      </c>
      <c r="M45" s="211">
        <f t="shared" si="27"/>
        <v>0.14</v>
      </c>
      <c r="N45" s="106">
        <f t="shared" si="28"/>
        <v>0.053796875</v>
      </c>
      <c r="W45" s="68"/>
    </row>
    <row r="46" ht="22.5" customHeight="1">
      <c r="A46" s="176"/>
      <c r="B46" s="235"/>
      <c r="C46" s="236"/>
      <c r="D46" s="235"/>
      <c r="E46" s="235"/>
      <c r="F46" s="237"/>
      <c r="H46" s="180"/>
      <c r="I46" s="127">
        <v>5.0</v>
      </c>
      <c r="J46" s="239">
        <f t="shared" si="24"/>
        <v>9.567936</v>
      </c>
      <c r="K46" s="210">
        <f t="shared" si="25"/>
        <v>2.4584233</v>
      </c>
      <c r="L46" s="210">
        <f t="shared" si="26"/>
        <v>1.184098497</v>
      </c>
      <c r="M46" s="211">
        <f t="shared" si="27"/>
        <v>0.22</v>
      </c>
      <c r="N46" s="106">
        <f t="shared" si="28"/>
        <v>0.195992</v>
      </c>
      <c r="W46" s="68"/>
    </row>
    <row r="47" ht="22.5" customHeight="1">
      <c r="A47" s="176"/>
      <c r="B47" s="235"/>
      <c r="C47" s="236"/>
      <c r="D47" s="235"/>
      <c r="E47" s="235"/>
      <c r="F47" s="237"/>
      <c r="H47" s="180"/>
      <c r="I47" s="127">
        <v>6.0</v>
      </c>
      <c r="J47" s="240">
        <f t="shared" si="24"/>
        <v>8.82672</v>
      </c>
      <c r="K47" s="210">
        <f t="shared" si="25"/>
        <v>0.6834659584</v>
      </c>
      <c r="L47" s="210">
        <f t="shared" si="26"/>
        <v>0.1203721514</v>
      </c>
      <c r="M47" s="213">
        <f t="shared" si="27"/>
        <v>0.2</v>
      </c>
      <c r="N47" s="106">
        <f t="shared" si="28"/>
        <v>0.10334</v>
      </c>
      <c r="W47" s="68"/>
    </row>
    <row r="48" ht="22.5" customHeight="1">
      <c r="A48" s="176"/>
      <c r="B48" s="235"/>
      <c r="C48" s="236"/>
      <c r="D48" s="235"/>
      <c r="E48" s="235"/>
      <c r="F48" s="237"/>
      <c r="H48" s="180"/>
      <c r="I48" s="127">
        <v>7.0</v>
      </c>
      <c r="J48" s="239">
        <f t="shared" si="24"/>
        <v>9.163848</v>
      </c>
      <c r="K48" s="210">
        <f t="shared" si="25"/>
        <v>1.354542167</v>
      </c>
      <c r="L48" s="210">
        <f t="shared" si="26"/>
        <v>0.4679584688</v>
      </c>
      <c r="M48" s="241">
        <f t="shared" si="27"/>
        <v>0.18</v>
      </c>
      <c r="N48" s="242">
        <f t="shared" si="28"/>
        <v>0.145481</v>
      </c>
      <c r="W48" s="68"/>
    </row>
    <row r="49" ht="22.5" customHeight="1">
      <c r="A49" s="176"/>
      <c r="B49" s="235"/>
      <c r="C49" s="236"/>
      <c r="D49" s="235"/>
      <c r="E49" s="235"/>
      <c r="F49" s="237"/>
      <c r="H49" s="180"/>
      <c r="I49" s="127">
        <v>8.0</v>
      </c>
      <c r="J49" s="240">
        <f t="shared" si="24"/>
        <v>7.6167</v>
      </c>
      <c r="K49" s="210">
        <f t="shared" si="25"/>
        <v>0.14691889</v>
      </c>
      <c r="L49" s="210">
        <f t="shared" si="26"/>
        <v>0.7448951759</v>
      </c>
      <c r="M49" s="243">
        <f t="shared" si="27"/>
        <v>0.42</v>
      </c>
      <c r="N49" s="242">
        <f t="shared" si="28"/>
        <v>0.0479125</v>
      </c>
      <c r="W49" s="68"/>
    </row>
    <row r="50" ht="22.5" customHeight="1">
      <c r="A50" s="176"/>
      <c r="B50" s="235"/>
      <c r="C50" s="236"/>
      <c r="D50" s="235"/>
      <c r="E50" s="235"/>
      <c r="F50" s="237"/>
      <c r="H50" s="180"/>
      <c r="I50" s="127">
        <v>9.0</v>
      </c>
      <c r="J50" s="239">
        <f t="shared" si="24"/>
        <v>8.22848</v>
      </c>
      <c r="K50" s="210">
        <f t="shared" si="25"/>
        <v>0.0522031104</v>
      </c>
      <c r="L50" s="210">
        <f t="shared" si="26"/>
        <v>0.06314822211</v>
      </c>
      <c r="M50" s="241">
        <f t="shared" si="27"/>
        <v>0.18</v>
      </c>
      <c r="N50" s="244">
        <f t="shared" si="28"/>
        <v>0.02856</v>
      </c>
      <c r="W50" s="68"/>
    </row>
    <row r="51" ht="22.5" customHeight="1">
      <c r="A51" s="176"/>
      <c r="B51" s="235"/>
      <c r="C51" s="236"/>
      <c r="D51" s="235"/>
      <c r="E51" s="235"/>
      <c r="F51" s="237"/>
      <c r="H51" s="180"/>
      <c r="I51" s="127">
        <v>10.0</v>
      </c>
      <c r="J51" s="245">
        <f t="shared" si="24"/>
        <v>7.50789</v>
      </c>
      <c r="K51" s="246">
        <f t="shared" si="25"/>
        <v>0.2421722521</v>
      </c>
      <c r="L51" s="246">
        <f t="shared" si="26"/>
        <v>0.9445567601</v>
      </c>
      <c r="M51" s="247">
        <f t="shared" si="27"/>
        <v>0.16</v>
      </c>
      <c r="N51" s="248">
        <f t="shared" si="28"/>
        <v>0.06151375</v>
      </c>
      <c r="W51" s="68"/>
    </row>
    <row r="52" ht="22.5" customHeight="1">
      <c r="A52" s="176"/>
      <c r="B52" s="235"/>
      <c r="C52" s="236"/>
      <c r="D52" s="235"/>
      <c r="E52" s="235"/>
      <c r="F52" s="237"/>
      <c r="H52" s="129"/>
      <c r="I52" s="166" t="s">
        <v>46</v>
      </c>
      <c r="J52" s="249">
        <f t="shared" ref="J52:N52" si="29">SUM(J42:J51)</f>
        <v>84.797731</v>
      </c>
      <c r="K52" s="221">
        <f t="shared" si="29"/>
        <v>10.33016684</v>
      </c>
      <c r="L52" s="221">
        <f t="shared" si="29"/>
        <v>8.028344562</v>
      </c>
      <c r="M52" s="250">
        <f t="shared" si="29"/>
        <v>1.9</v>
      </c>
      <c r="N52" s="251">
        <f t="shared" si="29"/>
        <v>1.016317625</v>
      </c>
      <c r="W52" s="68"/>
    </row>
    <row r="53" ht="22.5" customHeight="1">
      <c r="A53" s="176"/>
      <c r="B53" s="235"/>
      <c r="C53" s="236"/>
      <c r="D53" s="235"/>
      <c r="E53" s="235"/>
      <c r="F53" s="237"/>
      <c r="H53" s="224"/>
      <c r="I53" s="225"/>
      <c r="J53" s="225"/>
      <c r="K53" s="225"/>
      <c r="L53" s="225"/>
      <c r="M53" s="225"/>
      <c r="N53" s="226"/>
      <c r="O53" s="117"/>
      <c r="P53" s="117"/>
      <c r="Q53" s="117"/>
      <c r="R53" s="117"/>
      <c r="S53" s="117"/>
      <c r="T53" s="117"/>
      <c r="U53" s="117"/>
      <c r="V53" s="117"/>
      <c r="W53" s="118"/>
    </row>
    <row r="54" ht="22.5" customHeight="1">
      <c r="A54" s="176"/>
      <c r="B54" s="235"/>
      <c r="C54" s="236"/>
      <c r="D54" s="235"/>
      <c r="E54" s="235"/>
      <c r="F54" s="237"/>
      <c r="H54" s="252"/>
      <c r="I54" s="252"/>
      <c r="J54" s="168"/>
      <c r="K54" s="168"/>
      <c r="L54" s="168"/>
      <c r="M54" s="168"/>
      <c r="N54" s="15"/>
    </row>
    <row r="55" ht="22.5" customHeight="1">
      <c r="A55" s="176"/>
      <c r="B55" s="235"/>
      <c r="C55" s="236"/>
      <c r="D55" s="235"/>
      <c r="E55" s="235"/>
      <c r="F55" s="237"/>
      <c r="H55" s="168"/>
      <c r="I55" s="168"/>
      <c r="J55" s="168"/>
      <c r="K55" s="168"/>
      <c r="L55" s="168"/>
      <c r="M55" s="168"/>
      <c r="N55" s="15"/>
    </row>
    <row r="56" ht="22.5" customHeight="1">
      <c r="A56" s="176"/>
      <c r="B56" s="235"/>
      <c r="C56" s="236"/>
      <c r="D56" s="235"/>
      <c r="E56" s="235"/>
      <c r="F56" s="237"/>
      <c r="H56" s="168"/>
      <c r="I56" s="168"/>
      <c r="J56" s="168"/>
      <c r="K56" s="168"/>
      <c r="L56" s="168"/>
      <c r="M56" s="168"/>
      <c r="N56" s="15"/>
    </row>
    <row r="57" ht="22.5" customHeight="1">
      <c r="A57" s="176"/>
      <c r="B57" s="235"/>
      <c r="C57" s="236"/>
      <c r="D57" s="235"/>
      <c r="E57" s="235"/>
      <c r="F57" s="237"/>
      <c r="H57" s="168"/>
      <c r="I57" s="168"/>
      <c r="J57" s="168"/>
      <c r="K57" s="168"/>
      <c r="L57" s="168"/>
      <c r="M57" s="168"/>
      <c r="N57" s="227"/>
    </row>
    <row r="58" ht="22.5" customHeight="1">
      <c r="A58" s="176"/>
      <c r="B58" s="235"/>
      <c r="C58" s="236"/>
      <c r="D58" s="235"/>
      <c r="E58" s="235"/>
      <c r="F58" s="237"/>
      <c r="H58" s="168"/>
      <c r="I58" s="168"/>
      <c r="J58" s="168"/>
      <c r="K58" s="168"/>
      <c r="L58" s="168"/>
      <c r="M58" s="168"/>
      <c r="N58" s="168"/>
    </row>
    <row r="59" ht="22.5" customHeight="1">
      <c r="A59" s="176"/>
      <c r="B59" s="235"/>
      <c r="C59" s="236"/>
      <c r="D59" s="235"/>
      <c r="E59" s="235"/>
      <c r="F59" s="237"/>
      <c r="H59" s="168"/>
      <c r="I59" s="168"/>
      <c r="J59" s="168"/>
      <c r="K59" s="168"/>
      <c r="L59" s="168"/>
      <c r="M59" s="168"/>
      <c r="N59" s="168"/>
    </row>
    <row r="60" ht="22.5" customHeight="1">
      <c r="A60" s="176"/>
      <c r="B60" s="235"/>
      <c r="C60" s="236"/>
      <c r="D60" s="235"/>
      <c r="E60" s="235"/>
      <c r="F60" s="237"/>
      <c r="H60" s="168"/>
      <c r="I60" s="168"/>
      <c r="J60" s="168"/>
      <c r="K60" s="168"/>
      <c r="L60" s="168"/>
      <c r="M60" s="168"/>
      <c r="N60" s="168"/>
    </row>
    <row r="61" ht="22.5" customHeight="1">
      <c r="A61" s="176"/>
      <c r="B61" s="235"/>
      <c r="C61" s="236"/>
      <c r="D61" s="235"/>
      <c r="E61" s="235"/>
      <c r="F61" s="237"/>
      <c r="H61" s="168"/>
      <c r="I61" s="168"/>
      <c r="J61" s="168"/>
      <c r="K61" s="168"/>
      <c r="L61" s="168"/>
      <c r="M61" s="168"/>
      <c r="N61" s="168"/>
    </row>
    <row r="62" ht="22.5" customHeight="1">
      <c r="A62" s="176"/>
      <c r="B62" s="235"/>
      <c r="C62" s="236"/>
      <c r="D62" s="235"/>
      <c r="E62" s="235"/>
      <c r="F62" s="237"/>
      <c r="H62" s="168"/>
      <c r="I62" s="168"/>
      <c r="N62" s="168"/>
    </row>
    <row r="63" ht="22.5" customHeight="1">
      <c r="A63" s="176"/>
      <c r="B63" s="235"/>
      <c r="C63" s="236"/>
      <c r="D63" s="235"/>
      <c r="E63" s="235"/>
      <c r="F63" s="237"/>
      <c r="H63" s="168"/>
      <c r="I63" s="168"/>
      <c r="N63" s="168"/>
    </row>
    <row r="64" ht="22.5" customHeight="1">
      <c r="A64" s="176"/>
      <c r="B64" s="235"/>
      <c r="C64" s="236"/>
      <c r="D64" s="235"/>
      <c r="E64" s="235"/>
      <c r="F64" s="237"/>
    </row>
    <row r="65" ht="22.5" customHeight="1">
      <c r="A65" s="176"/>
      <c r="B65" s="235"/>
      <c r="C65" s="236"/>
      <c r="D65" s="235"/>
      <c r="E65" s="235"/>
      <c r="F65" s="237"/>
    </row>
    <row r="66" ht="22.5" customHeight="1">
      <c r="A66" s="176"/>
      <c r="B66" s="235"/>
      <c r="C66" s="236"/>
      <c r="D66" s="235"/>
      <c r="E66" s="235"/>
      <c r="F66" s="237"/>
    </row>
    <row r="67" ht="22.5" customHeight="1">
      <c r="A67" s="176"/>
      <c r="B67" s="235"/>
      <c r="C67" s="236"/>
      <c r="D67" s="235"/>
      <c r="E67" s="235"/>
      <c r="F67" s="237"/>
    </row>
    <row r="68" ht="22.5" customHeight="1">
      <c r="A68" s="176"/>
      <c r="B68" s="235"/>
      <c r="C68" s="236"/>
      <c r="D68" s="235"/>
      <c r="E68" s="235"/>
      <c r="F68" s="237"/>
    </row>
    <row r="69" ht="22.5" customHeight="1">
      <c r="A69" s="176"/>
      <c r="B69" s="235"/>
      <c r="C69" s="236"/>
      <c r="D69" s="235"/>
      <c r="E69" s="235"/>
      <c r="F69" s="237"/>
    </row>
    <row r="70" ht="22.5" customHeight="1">
      <c r="A70" s="176"/>
      <c r="B70" s="235"/>
      <c r="C70" s="236"/>
      <c r="D70" s="235"/>
      <c r="E70" s="235"/>
      <c r="F70" s="237"/>
    </row>
    <row r="71" ht="22.5" customHeight="1">
      <c r="A71" s="176"/>
      <c r="B71" s="235"/>
      <c r="C71" s="236"/>
      <c r="D71" s="235"/>
      <c r="E71" s="235"/>
      <c r="F71" s="237"/>
    </row>
    <row r="72" ht="22.5" customHeight="1">
      <c r="A72" s="176"/>
      <c r="B72" s="235"/>
      <c r="C72" s="236"/>
      <c r="D72" s="235"/>
      <c r="E72" s="235"/>
      <c r="F72" s="237"/>
    </row>
    <row r="73" ht="22.5" customHeight="1">
      <c r="A73" s="176"/>
      <c r="B73" s="235"/>
      <c r="C73" s="236"/>
      <c r="D73" s="235"/>
      <c r="E73" s="235"/>
      <c r="F73" s="237"/>
    </row>
    <row r="74" ht="22.5" customHeight="1">
      <c r="A74" s="176"/>
      <c r="B74" s="235"/>
      <c r="C74" s="236"/>
      <c r="D74" s="235"/>
      <c r="E74" s="235"/>
      <c r="F74" s="237"/>
    </row>
    <row r="75" ht="22.5" customHeight="1">
      <c r="A75" s="176"/>
      <c r="B75" s="235"/>
      <c r="C75" s="236"/>
      <c r="D75" s="235"/>
      <c r="E75" s="235"/>
      <c r="F75" s="237"/>
    </row>
    <row r="76" ht="22.5" customHeight="1">
      <c r="A76" s="176"/>
      <c r="B76" s="235"/>
      <c r="C76" s="236"/>
      <c r="D76" s="235"/>
      <c r="E76" s="235"/>
      <c r="F76" s="237"/>
    </row>
    <row r="77" ht="22.5" customHeight="1">
      <c r="A77" s="176"/>
      <c r="B77" s="235"/>
      <c r="C77" s="236"/>
      <c r="D77" s="235"/>
      <c r="E77" s="235"/>
      <c r="F77" s="237"/>
    </row>
    <row r="78" ht="22.5" customHeight="1">
      <c r="A78" s="176"/>
      <c r="B78" s="235"/>
      <c r="C78" s="236"/>
      <c r="D78" s="235"/>
      <c r="E78" s="235"/>
      <c r="F78" s="237"/>
    </row>
    <row r="79" ht="22.5" customHeight="1">
      <c r="A79" s="176"/>
      <c r="B79" s="235"/>
      <c r="C79" s="236"/>
      <c r="D79" s="235"/>
      <c r="E79" s="235"/>
      <c r="F79" s="237"/>
    </row>
    <row r="80" ht="22.5" customHeight="1">
      <c r="A80" s="176"/>
      <c r="B80" s="235"/>
      <c r="C80" s="236"/>
      <c r="D80" s="235"/>
      <c r="E80" s="235"/>
      <c r="F80" s="237"/>
    </row>
    <row r="81" ht="22.5" customHeight="1">
      <c r="A81" s="176"/>
      <c r="B81" s="235"/>
      <c r="C81" s="236"/>
      <c r="D81" s="235"/>
      <c r="E81" s="235"/>
      <c r="F81" s="237"/>
    </row>
    <row r="82" ht="22.5" customHeight="1">
      <c r="A82" s="176"/>
      <c r="B82" s="235"/>
      <c r="C82" s="236"/>
      <c r="D82" s="235"/>
      <c r="E82" s="235"/>
      <c r="F82" s="237"/>
    </row>
    <row r="83" ht="22.5" customHeight="1">
      <c r="A83" s="176"/>
      <c r="B83" s="235"/>
      <c r="C83" s="236"/>
      <c r="D83" s="235"/>
      <c r="E83" s="235"/>
      <c r="F83" s="237"/>
    </row>
    <row r="84" ht="22.5" customHeight="1">
      <c r="A84" s="176"/>
      <c r="B84" s="235"/>
      <c r="C84" s="236"/>
      <c r="D84" s="235"/>
      <c r="E84" s="235"/>
      <c r="F84" s="237"/>
    </row>
    <row r="85" ht="22.5" customHeight="1">
      <c r="A85" s="176"/>
      <c r="B85" s="235"/>
      <c r="C85" s="236"/>
      <c r="D85" s="235"/>
      <c r="E85" s="235"/>
      <c r="F85" s="237"/>
    </row>
    <row r="86" ht="22.5" customHeight="1">
      <c r="A86" s="176"/>
      <c r="B86" s="235"/>
      <c r="C86" s="236"/>
      <c r="D86" s="235"/>
      <c r="E86" s="235"/>
      <c r="F86" s="237"/>
    </row>
    <row r="87">
      <c r="A87" s="90"/>
      <c r="F87" s="68"/>
    </row>
    <row r="88">
      <c r="A88" s="90"/>
      <c r="F88" s="68"/>
    </row>
    <row r="89">
      <c r="A89" s="90"/>
      <c r="F89" s="68"/>
    </row>
    <row r="90">
      <c r="A90" s="90"/>
      <c r="F90" s="68"/>
    </row>
    <row r="91">
      <c r="A91" s="90"/>
      <c r="F91" s="68"/>
    </row>
    <row r="92">
      <c r="A92" s="90"/>
      <c r="D92" s="95" t="s">
        <v>48</v>
      </c>
      <c r="E92" s="76">
        <v>8.0</v>
      </c>
      <c r="F92" s="68"/>
    </row>
    <row r="93">
      <c r="A93" s="93"/>
      <c r="B93" s="94"/>
      <c r="C93" s="94"/>
      <c r="D93" s="94"/>
      <c r="E93" s="9"/>
      <c r="F93" s="253"/>
    </row>
    <row r="94" ht="22.5" customHeight="1">
      <c r="A94" s="96" t="s">
        <v>81</v>
      </c>
      <c r="B94" s="6" t="s">
        <v>70</v>
      </c>
      <c r="C94" s="6" t="s">
        <v>82</v>
      </c>
      <c r="D94" s="6" t="s">
        <v>83</v>
      </c>
      <c r="E94" s="19" t="s">
        <v>45</v>
      </c>
      <c r="F94" s="97" t="s">
        <v>16</v>
      </c>
    </row>
    <row r="95" ht="22.5" customHeight="1">
      <c r="A95" s="99">
        <v>1.0</v>
      </c>
      <c r="B95" s="102"/>
      <c r="C95" s="48">
        <f t="shared" ref="C95:C104" si="30">F5</f>
        <v>9.17</v>
      </c>
      <c r="D95" s="229">
        <f t="shared" ref="D95:D104" si="31">abs(C95-E$92)^2</f>
        <v>1.3689</v>
      </c>
      <c r="E95" s="102">
        <f t="shared" ref="E95:E104" si="32">(C95-C$105)^2</f>
        <v>0.00097969</v>
      </c>
      <c r="F95" s="121">
        <f t="shared" ref="F95:F104" si="33">B5</f>
        <v>0.09</v>
      </c>
    </row>
    <row r="96" ht="22.5" customHeight="1">
      <c r="A96" s="99">
        <v>2.0</v>
      </c>
      <c r="B96" s="102"/>
      <c r="C96" s="48">
        <f t="shared" si="30"/>
        <v>8.39</v>
      </c>
      <c r="D96" s="229">
        <f t="shared" si="31"/>
        <v>0.1521</v>
      </c>
      <c r="E96" s="102">
        <f t="shared" si="32"/>
        <v>0.56055169</v>
      </c>
      <c r="F96" s="121">
        <f t="shared" si="33"/>
        <v>0.1</v>
      </c>
    </row>
    <row r="97" ht="22.5" customHeight="1">
      <c r="A97" s="99">
        <v>3.0</v>
      </c>
      <c r="B97" s="102"/>
      <c r="C97" s="48">
        <f t="shared" si="30"/>
        <v>10.896</v>
      </c>
      <c r="D97" s="229">
        <f t="shared" si="31"/>
        <v>8.386816</v>
      </c>
      <c r="E97" s="102">
        <f t="shared" si="32"/>
        <v>3.08810329</v>
      </c>
      <c r="F97" s="121">
        <f t="shared" si="33"/>
        <v>0.21</v>
      </c>
    </row>
    <row r="98" ht="22.5" customHeight="1">
      <c r="A98" s="99">
        <v>5.0</v>
      </c>
      <c r="B98" s="102"/>
      <c r="C98" s="48">
        <f t="shared" si="30"/>
        <v>8.192</v>
      </c>
      <c r="D98" s="229">
        <f t="shared" si="31"/>
        <v>0.036864</v>
      </c>
      <c r="E98" s="102">
        <f t="shared" si="32"/>
        <v>0.89624089</v>
      </c>
      <c r="F98" s="121">
        <f t="shared" si="33"/>
        <v>0.14</v>
      </c>
    </row>
    <row r="99" ht="22.5" customHeight="1">
      <c r="A99" s="99">
        <v>7.0</v>
      </c>
      <c r="B99" s="102"/>
      <c r="C99" s="48">
        <f t="shared" si="30"/>
        <v>10.266</v>
      </c>
      <c r="D99" s="229">
        <f t="shared" si="31"/>
        <v>5.134756</v>
      </c>
      <c r="E99" s="102">
        <f t="shared" si="32"/>
        <v>1.27080529</v>
      </c>
      <c r="F99" s="121">
        <f t="shared" si="33"/>
        <v>0.22</v>
      </c>
    </row>
    <row r="100" ht="22.5" customHeight="1">
      <c r="A100" s="99">
        <v>8.0</v>
      </c>
      <c r="B100" s="102"/>
      <c r="C100" s="48">
        <f t="shared" si="30"/>
        <v>9.487</v>
      </c>
      <c r="D100" s="229">
        <f t="shared" si="31"/>
        <v>2.211169</v>
      </c>
      <c r="E100" s="102">
        <f t="shared" si="32"/>
        <v>0.12131289</v>
      </c>
      <c r="F100" s="121">
        <f t="shared" si="33"/>
        <v>0.2</v>
      </c>
    </row>
    <row r="101" ht="22.5" customHeight="1">
      <c r="A101" s="99">
        <v>9.0</v>
      </c>
      <c r="B101" s="154"/>
      <c r="C101" s="48">
        <f t="shared" si="30"/>
        <v>9.82</v>
      </c>
      <c r="D101" s="229">
        <f t="shared" si="31"/>
        <v>3.3124</v>
      </c>
      <c r="E101" s="102">
        <f t="shared" si="32"/>
        <v>0.46416969</v>
      </c>
      <c r="F101" s="121">
        <f t="shared" si="33"/>
        <v>0.18</v>
      </c>
    </row>
    <row r="102" ht="22.5" customHeight="1">
      <c r="A102" s="99">
        <v>10.0</v>
      </c>
      <c r="B102" s="154"/>
      <c r="C102" s="48">
        <f t="shared" si="30"/>
        <v>8.233</v>
      </c>
      <c r="D102" s="229">
        <f t="shared" si="31"/>
        <v>0.054289</v>
      </c>
      <c r="E102" s="102">
        <f t="shared" si="32"/>
        <v>0.82029249</v>
      </c>
      <c r="F102" s="121">
        <f t="shared" si="33"/>
        <v>0.42</v>
      </c>
    </row>
    <row r="103" ht="22.5" customHeight="1">
      <c r="A103" s="99">
        <v>11.0</v>
      </c>
      <c r="B103" s="154"/>
      <c r="C103" s="48">
        <f t="shared" si="30"/>
        <v>8.827</v>
      </c>
      <c r="D103" s="229">
        <f t="shared" si="31"/>
        <v>0.683929</v>
      </c>
      <c r="E103" s="102">
        <f t="shared" si="32"/>
        <v>0.09715689</v>
      </c>
      <c r="F103" s="121">
        <f t="shared" si="33"/>
        <v>0.18</v>
      </c>
    </row>
    <row r="104" ht="22.5" customHeight="1">
      <c r="A104" s="99">
        <v>12.0</v>
      </c>
      <c r="B104" s="154"/>
      <c r="C104" s="48">
        <f t="shared" si="30"/>
        <v>8.106</v>
      </c>
      <c r="D104" s="229">
        <f t="shared" si="31"/>
        <v>0.011236</v>
      </c>
      <c r="E104" s="102">
        <f t="shared" si="32"/>
        <v>1.06646929</v>
      </c>
      <c r="F104" s="121">
        <f t="shared" si="33"/>
        <v>0.16</v>
      </c>
    </row>
    <row r="105" ht="22.5" customHeight="1">
      <c r="A105" s="254" t="s">
        <v>67</v>
      </c>
      <c r="B105" s="255"/>
      <c r="C105" s="256">
        <f>AVERAGE(C95:C104)</f>
        <v>9.1387</v>
      </c>
      <c r="D105" s="257">
        <f t="shared" ref="D105:E105" si="34">SQRT(AVERAGE(D95:D104))</f>
        <v>1.461248062</v>
      </c>
      <c r="E105" s="257">
        <f t="shared" si="34"/>
        <v>0.9157555405</v>
      </c>
      <c r="F105" s="258">
        <f>AVERAGE(F95:F104)</f>
        <v>0.19</v>
      </c>
    </row>
    <row r="108">
      <c r="A108" s="94"/>
      <c r="B108" s="94"/>
      <c r="C108" s="94"/>
      <c r="D108" s="94"/>
      <c r="E108" s="9"/>
      <c r="F108" s="94"/>
    </row>
    <row r="109">
      <c r="A109" s="165"/>
      <c r="B109" s="165"/>
      <c r="C109" s="165"/>
      <c r="D109" s="165"/>
      <c r="E109" s="165"/>
      <c r="F109" s="165"/>
    </row>
    <row r="110">
      <c r="A110" s="165"/>
      <c r="B110" s="165"/>
      <c r="C110" s="165"/>
      <c r="D110" s="165"/>
      <c r="E110" s="165"/>
      <c r="F110" s="165"/>
    </row>
    <row r="111">
      <c r="A111" s="165"/>
      <c r="B111" s="165"/>
      <c r="C111" s="165"/>
      <c r="D111" s="165"/>
      <c r="E111" s="165"/>
      <c r="F111" s="165"/>
    </row>
    <row r="112">
      <c r="A112" s="165"/>
      <c r="B112" s="165"/>
      <c r="C112" s="165"/>
      <c r="D112" s="165"/>
      <c r="E112" s="165"/>
      <c r="F112" s="165"/>
    </row>
    <row r="113">
      <c r="A113" s="165"/>
      <c r="B113" s="165"/>
      <c r="C113" s="165"/>
      <c r="D113" s="165"/>
      <c r="E113" s="165"/>
      <c r="F113" s="165"/>
    </row>
  </sheetData>
  <mergeCells count="8">
    <mergeCell ref="P19:W19"/>
    <mergeCell ref="P20:R20"/>
    <mergeCell ref="S20:U20"/>
    <mergeCell ref="V20:W20"/>
    <mergeCell ref="P23:R23"/>
    <mergeCell ref="S23:U23"/>
    <mergeCell ref="V23:W23"/>
    <mergeCell ref="P22:W22"/>
  </mergeCells>
  <dataValidations>
    <dataValidation type="custom" allowBlank="1" showDropDown="1" sqref="J42:J50 B5:B86 D5:F86 A95:A105 C95:D105 F95:F105">
      <formula1>AND(ISNUMBER(A5),(NOT(OR(NOT(ISERROR(DATEVALUE(A5))), AND(ISNUMBER(A5), LEFT(CELL("format", A5))="D")))))</formula1>
    </dataValidation>
    <dataValidation allowBlank="1" showDropDown="1" sqref="A5:A86"/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